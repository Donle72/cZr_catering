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cZr_CosteoCatering\DATA\PlanillaLEO\"/>
    </mc:Choice>
  </mc:AlternateContent>
  <xr:revisionPtr revIDLastSave="0" documentId="8_{0A91826C-1B73-454D-A777-669C3E776658}" xr6:coauthVersionLast="47" xr6:coauthVersionMax="47" xr10:uidLastSave="{00000000-0000-0000-0000-000000000000}"/>
  <bookViews>
    <workbookView xWindow="-120" yWindow="-120" windowWidth="29040" windowHeight="15720" xr2:uid="{79AAB350-415C-4D56-9BA5-F659EA455560}"/>
  </bookViews>
  <sheets>
    <sheet name="Menu" sheetId="2" r:id="rId1"/>
    <sheet name="Recetas" sheetId="4" r:id="rId2"/>
    <sheet name="Inf_Nutric" sheetId="5" r:id="rId3"/>
    <sheet name="Propuesta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6" i="2" l="1"/>
  <c r="S16" i="2" s="1"/>
  <c r="R15" i="2"/>
  <c r="S15" i="2" s="1"/>
  <c r="H15" i="2"/>
  <c r="K15" i="2" s="1"/>
  <c r="M15" i="2" s="1"/>
  <c r="H13" i="2"/>
  <c r="K13" i="2" s="1"/>
  <c r="M13" i="2" s="1"/>
  <c r="H24" i="2"/>
  <c r="K24" i="2" s="1"/>
  <c r="M24" i="2" s="1"/>
  <c r="E22" i="2"/>
  <c r="H22" i="2" s="1"/>
  <c r="K22" i="2" s="1"/>
  <c r="M22" i="2" s="1"/>
  <c r="H96" i="2"/>
  <c r="K96" i="2" s="1"/>
  <c r="M96" i="2" s="1"/>
  <c r="H95" i="2"/>
  <c r="H94" i="2"/>
  <c r="H93" i="2"/>
  <c r="K93" i="2" s="1"/>
  <c r="M93" i="2" s="1"/>
  <c r="H92" i="2"/>
  <c r="K92" i="2" s="1"/>
  <c r="M92" i="2" s="1"/>
  <c r="H91" i="2"/>
  <c r="K91" i="2" s="1"/>
  <c r="M91" i="2" s="1"/>
  <c r="H90" i="2"/>
  <c r="K90" i="2" s="1"/>
  <c r="M90" i="2" s="1"/>
  <c r="H89" i="2"/>
  <c r="K89" i="2" s="1"/>
  <c r="M89" i="2" s="1"/>
  <c r="H88" i="2"/>
  <c r="J96" i="2"/>
  <c r="L96" i="2" s="1"/>
  <c r="I96" i="2"/>
  <c r="J95" i="2"/>
  <c r="L95" i="2" s="1"/>
  <c r="I95" i="2"/>
  <c r="K95" i="2"/>
  <c r="M95" i="2" s="1"/>
  <c r="J94" i="2"/>
  <c r="L94" i="2" s="1"/>
  <c r="I94" i="2"/>
  <c r="K94" i="2"/>
  <c r="M94" i="2" s="1"/>
  <c r="J93" i="2"/>
  <c r="L93" i="2" s="1"/>
  <c r="I93" i="2"/>
  <c r="J92" i="2"/>
  <c r="L92" i="2" s="1"/>
  <c r="I92" i="2"/>
  <c r="J91" i="2"/>
  <c r="L91" i="2" s="1"/>
  <c r="I91" i="2"/>
  <c r="J90" i="2"/>
  <c r="L90" i="2" s="1"/>
  <c r="I90" i="2"/>
  <c r="J89" i="2"/>
  <c r="L89" i="2" s="1"/>
  <c r="I89" i="2"/>
  <c r="J88" i="2"/>
  <c r="L88" i="2" s="1"/>
  <c r="I88" i="2"/>
  <c r="I83" i="2"/>
  <c r="I82" i="2"/>
  <c r="I81" i="2"/>
  <c r="I80" i="2"/>
  <c r="I79" i="2"/>
  <c r="I78" i="2"/>
  <c r="I77" i="2"/>
  <c r="I76" i="2"/>
  <c r="I75" i="2"/>
  <c r="I70" i="2"/>
  <c r="I69" i="2"/>
  <c r="I68" i="2"/>
  <c r="I67" i="2"/>
  <c r="I66" i="2"/>
  <c r="I65" i="2"/>
  <c r="I64" i="2"/>
  <c r="I63" i="2"/>
  <c r="I62" i="2"/>
  <c r="I57" i="2"/>
  <c r="I56" i="2"/>
  <c r="I55" i="2"/>
  <c r="I54" i="2"/>
  <c r="I53" i="2"/>
  <c r="I52" i="2"/>
  <c r="I51" i="2"/>
  <c r="I50" i="2"/>
  <c r="I49" i="2"/>
  <c r="I44" i="2"/>
  <c r="I43" i="2"/>
  <c r="I42" i="2"/>
  <c r="I37" i="2"/>
  <c r="I36" i="2"/>
  <c r="I35" i="2"/>
  <c r="I34" i="2"/>
  <c r="I33" i="2"/>
  <c r="I32" i="2"/>
  <c r="I31" i="2"/>
  <c r="I30" i="2"/>
  <c r="I29" i="2"/>
  <c r="I24" i="2"/>
  <c r="I23" i="2"/>
  <c r="I22" i="2"/>
  <c r="I21" i="2"/>
  <c r="I20" i="2"/>
  <c r="I15" i="2"/>
  <c r="I14" i="2"/>
  <c r="I13" i="2"/>
  <c r="H83" i="2"/>
  <c r="K83" i="2" s="1"/>
  <c r="M83" i="2" s="1"/>
  <c r="H82" i="2"/>
  <c r="K82" i="2" s="1"/>
  <c r="M82" i="2" s="1"/>
  <c r="H81" i="2"/>
  <c r="H80" i="2"/>
  <c r="H79" i="2"/>
  <c r="K79" i="2" s="1"/>
  <c r="M79" i="2" s="1"/>
  <c r="H78" i="2"/>
  <c r="K78" i="2" s="1"/>
  <c r="M78" i="2" s="1"/>
  <c r="H77" i="2"/>
  <c r="K77" i="2" s="1"/>
  <c r="M77" i="2" s="1"/>
  <c r="H76" i="2"/>
  <c r="K76" i="2" s="1"/>
  <c r="M76" i="2" s="1"/>
  <c r="H75" i="2"/>
  <c r="H70" i="2"/>
  <c r="K70" i="2" s="1"/>
  <c r="M70" i="2" s="1"/>
  <c r="H69" i="2"/>
  <c r="K69" i="2" s="1"/>
  <c r="M69" i="2" s="1"/>
  <c r="H68" i="2"/>
  <c r="K68" i="2" s="1"/>
  <c r="M68" i="2" s="1"/>
  <c r="H67" i="2"/>
  <c r="K67" i="2" s="1"/>
  <c r="M67" i="2" s="1"/>
  <c r="H66" i="2"/>
  <c r="K66" i="2" s="1"/>
  <c r="M66" i="2" s="1"/>
  <c r="H65" i="2"/>
  <c r="K65" i="2" s="1"/>
  <c r="M65" i="2" s="1"/>
  <c r="H64" i="2"/>
  <c r="K64" i="2" s="1"/>
  <c r="M64" i="2" s="1"/>
  <c r="H63" i="2"/>
  <c r="K63" i="2" s="1"/>
  <c r="M63" i="2" s="1"/>
  <c r="H62" i="2"/>
  <c r="H57" i="2"/>
  <c r="H56" i="2"/>
  <c r="K56" i="2" s="1"/>
  <c r="M56" i="2" s="1"/>
  <c r="H55" i="2"/>
  <c r="K55" i="2" s="1"/>
  <c r="M55" i="2" s="1"/>
  <c r="H54" i="2"/>
  <c r="K54" i="2" s="1"/>
  <c r="M54" i="2" s="1"/>
  <c r="H53" i="2"/>
  <c r="K53" i="2" s="1"/>
  <c r="M53" i="2" s="1"/>
  <c r="H52" i="2"/>
  <c r="K52" i="2" s="1"/>
  <c r="M52" i="2" s="1"/>
  <c r="H51" i="2"/>
  <c r="K51" i="2" s="1"/>
  <c r="M51" i="2" s="1"/>
  <c r="H50" i="2"/>
  <c r="K50" i="2" s="1"/>
  <c r="M50" i="2" s="1"/>
  <c r="H49" i="2"/>
  <c r="H44" i="2"/>
  <c r="K44" i="2" s="1"/>
  <c r="M44" i="2" s="1"/>
  <c r="H43" i="2"/>
  <c r="H42" i="2"/>
  <c r="K42" i="2" s="1"/>
  <c r="M42" i="2" s="1"/>
  <c r="H37" i="2"/>
  <c r="K37" i="2" s="1"/>
  <c r="M37" i="2" s="1"/>
  <c r="H35" i="2"/>
  <c r="K35" i="2" s="1"/>
  <c r="M35" i="2" s="1"/>
  <c r="H34" i="2"/>
  <c r="K34" i="2" s="1"/>
  <c r="H33" i="2"/>
  <c r="K33" i="2" s="1"/>
  <c r="M33" i="2" s="1"/>
  <c r="H32" i="2"/>
  <c r="K32" i="2" s="1"/>
  <c r="M32" i="2" s="1"/>
  <c r="H31" i="2"/>
  <c r="K31" i="2" s="1"/>
  <c r="M31" i="2" s="1"/>
  <c r="H30" i="2"/>
  <c r="K30" i="2" s="1"/>
  <c r="M30" i="2" s="1"/>
  <c r="H29" i="2"/>
  <c r="K29" i="2" s="1"/>
  <c r="M29" i="2" s="1"/>
  <c r="H21" i="2"/>
  <c r="K21" i="2" s="1"/>
  <c r="M21" i="2" s="1"/>
  <c r="H20" i="2"/>
  <c r="K20" i="2" s="1"/>
  <c r="M20" i="2" s="1"/>
  <c r="H14" i="2"/>
  <c r="K14" i="2" s="1"/>
  <c r="M14" i="2" s="1"/>
  <c r="J83" i="2"/>
  <c r="L83" i="2" s="1"/>
  <c r="J82" i="2"/>
  <c r="L82" i="2" s="1"/>
  <c r="J81" i="2"/>
  <c r="L81" i="2" s="1"/>
  <c r="K81" i="2"/>
  <c r="M81" i="2" s="1"/>
  <c r="J80" i="2"/>
  <c r="L80" i="2" s="1"/>
  <c r="K80" i="2"/>
  <c r="M80" i="2" s="1"/>
  <c r="J79" i="2"/>
  <c r="L79" i="2" s="1"/>
  <c r="J78" i="2"/>
  <c r="L78" i="2" s="1"/>
  <c r="J77" i="2"/>
  <c r="L77" i="2" s="1"/>
  <c r="J76" i="2"/>
  <c r="L76" i="2" s="1"/>
  <c r="J75" i="2"/>
  <c r="L75" i="2" s="1"/>
  <c r="J70" i="2"/>
  <c r="L70" i="2" s="1"/>
  <c r="J69" i="2"/>
  <c r="L69" i="2" s="1"/>
  <c r="J68" i="2"/>
  <c r="L68" i="2" s="1"/>
  <c r="J67" i="2"/>
  <c r="L67" i="2" s="1"/>
  <c r="J66" i="2"/>
  <c r="L66" i="2" s="1"/>
  <c r="J65" i="2"/>
  <c r="L65" i="2" s="1"/>
  <c r="J64" i="2"/>
  <c r="L64" i="2" s="1"/>
  <c r="J63" i="2"/>
  <c r="L63" i="2" s="1"/>
  <c r="J62" i="2"/>
  <c r="L62" i="2" s="1"/>
  <c r="L4" i="2"/>
  <c r="J57" i="2"/>
  <c r="L57" i="2" s="1"/>
  <c r="J56" i="2"/>
  <c r="L56" i="2" s="1"/>
  <c r="J55" i="2"/>
  <c r="L55" i="2" s="1"/>
  <c r="J54" i="2"/>
  <c r="L54" i="2" s="1"/>
  <c r="J53" i="2"/>
  <c r="L53" i="2" s="1"/>
  <c r="J52" i="2"/>
  <c r="L52" i="2" s="1"/>
  <c r="J51" i="2"/>
  <c r="L51" i="2" s="1"/>
  <c r="J50" i="2"/>
  <c r="L50" i="2" s="1"/>
  <c r="J49" i="2"/>
  <c r="L49" i="2" s="1"/>
  <c r="J44" i="2"/>
  <c r="L44" i="2" s="1"/>
  <c r="J43" i="2"/>
  <c r="L43" i="2" s="1"/>
  <c r="J42" i="2"/>
  <c r="L42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1" i="2"/>
  <c r="L31" i="2" s="1"/>
  <c r="J30" i="2"/>
  <c r="L30" i="2" s="1"/>
  <c r="J29" i="2"/>
  <c r="L29" i="2" s="1"/>
  <c r="J24" i="2"/>
  <c r="L24" i="2" s="1"/>
  <c r="J21" i="2"/>
  <c r="L21" i="2" s="1"/>
  <c r="J20" i="2"/>
  <c r="L20" i="2" s="1"/>
  <c r="J14" i="2"/>
  <c r="L14" i="2" s="1"/>
  <c r="K57" i="2"/>
  <c r="M57" i="2" s="1"/>
  <c r="K49" i="2"/>
  <c r="M49" i="2" s="1"/>
  <c r="K43" i="2"/>
  <c r="M43" i="2" s="1"/>
  <c r="R13" i="2" l="1"/>
  <c r="S13" i="2" s="1"/>
  <c r="J15" i="2"/>
  <c r="L15" i="2" s="1"/>
  <c r="E16" i="2"/>
  <c r="E17" i="2" s="1"/>
  <c r="J13" i="2"/>
  <c r="L13" i="2" s="1"/>
  <c r="J22" i="2"/>
  <c r="L22" i="2" s="1"/>
  <c r="H17" i="2"/>
  <c r="M17" i="2"/>
  <c r="H97" i="2"/>
  <c r="K88" i="2"/>
  <c r="M88" i="2" s="1"/>
  <c r="M97" i="2" s="1"/>
  <c r="R12" i="2"/>
  <c r="S12" i="2" s="1"/>
  <c r="R18" i="2"/>
  <c r="S18" i="2" s="1"/>
  <c r="M34" i="2"/>
  <c r="R14" i="2" s="1"/>
  <c r="S14" i="2" s="1"/>
  <c r="H84" i="2"/>
  <c r="H71" i="2"/>
  <c r="K75" i="2"/>
  <c r="M75" i="2" s="1"/>
  <c r="M84" i="2" s="1"/>
  <c r="K62" i="2"/>
  <c r="M62" i="2" s="1"/>
  <c r="M71" i="2" s="1"/>
  <c r="M45" i="2"/>
  <c r="M58" i="2"/>
  <c r="H58" i="2"/>
  <c r="H45" i="2"/>
  <c r="H36" i="2"/>
  <c r="H38" i="2" s="1"/>
  <c r="K36" i="2"/>
  <c r="M36" i="2" s="1"/>
  <c r="J23" i="2"/>
  <c r="L23" i="2" s="1"/>
  <c r="H23" i="2"/>
  <c r="K23" i="2" s="1"/>
  <c r="M23" i="2" s="1"/>
  <c r="M38" i="2" l="1"/>
  <c r="H26" i="2"/>
  <c r="D2" i="2" s="1"/>
  <c r="E2" i="2" s="1"/>
  <c r="D6" i="2"/>
  <c r="M26" i="2"/>
  <c r="R19" i="2"/>
  <c r="S19" i="2" s="1"/>
  <c r="D9" i="2" l="1"/>
  <c r="E6" i="2"/>
  <c r="L6" i="2"/>
  <c r="L8" i="2" l="1"/>
  <c r="M8" i="2" s="1"/>
  <c r="M6" i="2"/>
</calcChain>
</file>

<file path=xl/sharedStrings.xml><?xml version="1.0" encoding="utf-8"?>
<sst xmlns="http://schemas.openxmlformats.org/spreadsheetml/2006/main" count="263" uniqueCount="126">
  <si>
    <t>Bondiola de CERDO</t>
  </si>
  <si>
    <t>Mat</t>
  </si>
  <si>
    <t>Cant</t>
  </si>
  <si>
    <t xml:space="preserve">$ x p / c </t>
  </si>
  <si>
    <t>Peso / Cant</t>
  </si>
  <si>
    <t>Unidad</t>
  </si>
  <si>
    <t>Kgs</t>
  </si>
  <si>
    <t xml:space="preserve">TOT Costo </t>
  </si>
  <si>
    <t xml:space="preserve">Kgs </t>
  </si>
  <si>
    <t>Caniceria</t>
  </si>
  <si>
    <t xml:space="preserve">Panaderia </t>
  </si>
  <si>
    <t>Almacen</t>
  </si>
  <si>
    <t>Papelera</t>
  </si>
  <si>
    <t>Brochettes cortos</t>
  </si>
  <si>
    <t>Paq</t>
  </si>
  <si>
    <t>Verduras</t>
  </si>
  <si>
    <t>tot</t>
  </si>
  <si>
    <t>$ Stot</t>
  </si>
  <si>
    <t>P Capr</t>
  </si>
  <si>
    <t>ML</t>
  </si>
  <si>
    <t>Film 60 Rolopac</t>
  </si>
  <si>
    <t>Bolsas de arranque Rolan Hogar</t>
  </si>
  <si>
    <t xml:space="preserve">Costo x p </t>
  </si>
  <si>
    <t xml:space="preserve">Cant x p </t>
  </si>
  <si>
    <t>Cant Ori</t>
  </si>
  <si>
    <t>Cant Mod</t>
  </si>
  <si>
    <t>TOT Costo Mod</t>
  </si>
  <si>
    <t>Cant Tot Rec</t>
  </si>
  <si>
    <t xml:space="preserve">Cost Tot Rec </t>
  </si>
  <si>
    <t>Menu x PAX</t>
  </si>
  <si>
    <t>Obs/Orign (Carrefour salvo indicado)</t>
  </si>
  <si>
    <t xml:space="preserve">Margen </t>
  </si>
  <si>
    <t>Brigada</t>
  </si>
  <si>
    <t>Salon</t>
  </si>
  <si>
    <t xml:space="preserve">Cocinero </t>
  </si>
  <si>
    <t xml:space="preserve">Cantidad </t>
  </si>
  <si>
    <t>Honorarios</t>
  </si>
  <si>
    <t>Ayudante Cocina</t>
  </si>
  <si>
    <t xml:space="preserve">Bachero </t>
  </si>
  <si>
    <t>Limpieza</t>
  </si>
  <si>
    <t>Hora</t>
  </si>
  <si>
    <t>Personas</t>
  </si>
  <si>
    <t>Servicio 3 horas - 1 hs prodcuccion - 1 hs post</t>
  </si>
  <si>
    <t>Brigada Ac</t>
  </si>
  <si>
    <t>Brigada CE</t>
  </si>
  <si>
    <t>Brigada Ba</t>
  </si>
  <si>
    <t>Brigada So</t>
  </si>
  <si>
    <t>Salon Mt</t>
  </si>
  <si>
    <t>Maitre</t>
  </si>
  <si>
    <t>Salon Mz</t>
  </si>
  <si>
    <t>Mozo</t>
  </si>
  <si>
    <t>Salon Tk</t>
  </si>
  <si>
    <t>Control</t>
  </si>
  <si>
    <t>Salon Sg</t>
  </si>
  <si>
    <t>Seguridad</t>
  </si>
  <si>
    <t>Salon Bt</t>
  </si>
  <si>
    <t xml:space="preserve">Bartender </t>
  </si>
  <si>
    <t>Hs</t>
  </si>
  <si>
    <t>Salon So</t>
  </si>
  <si>
    <t>Servicio 3 horas - 1 hs preparacion - 1 hs post</t>
  </si>
  <si>
    <t xml:space="preserve">(No incluye impuestos) </t>
  </si>
  <si>
    <t>Facturado</t>
  </si>
  <si>
    <t>P1</t>
  </si>
  <si>
    <t xml:space="preserve">P2 </t>
  </si>
  <si>
    <t>F1</t>
  </si>
  <si>
    <t>F2</t>
  </si>
  <si>
    <t>F3</t>
  </si>
  <si>
    <t>F4</t>
  </si>
  <si>
    <t>F5</t>
  </si>
  <si>
    <t>F6</t>
  </si>
  <si>
    <t>IG</t>
  </si>
  <si>
    <t>Precio x PAX</t>
  </si>
  <si>
    <t xml:space="preserve">Total </t>
  </si>
  <si>
    <t>Total Imp</t>
  </si>
  <si>
    <t>$%</t>
  </si>
  <si>
    <t xml:space="preserve">Impuestos </t>
  </si>
  <si>
    <t>PAX</t>
  </si>
  <si>
    <t xml:space="preserve">Costos </t>
  </si>
  <si>
    <t>AD Serv Gs</t>
  </si>
  <si>
    <t>AD Serv Lz</t>
  </si>
  <si>
    <t>AD Serv Ag</t>
  </si>
  <si>
    <t>AD Residuos</t>
  </si>
  <si>
    <t>AD Camara</t>
  </si>
  <si>
    <t>AD ARTF</t>
  </si>
  <si>
    <t>AD ART</t>
  </si>
  <si>
    <t>AD SEV</t>
  </si>
  <si>
    <t>Gas</t>
  </si>
  <si>
    <t>Luz</t>
  </si>
  <si>
    <t>Agua</t>
  </si>
  <si>
    <t>Recolectores</t>
  </si>
  <si>
    <t>Costo Camara</t>
  </si>
  <si>
    <t xml:space="preserve">Artefactos </t>
  </si>
  <si>
    <t>Seguro ART</t>
  </si>
  <si>
    <t>Seguro Vida</t>
  </si>
  <si>
    <t>Dias Prep</t>
  </si>
  <si>
    <t xml:space="preserve">Costo por semana </t>
  </si>
  <si>
    <t>Costo</t>
  </si>
  <si>
    <t>Costo por Plato</t>
  </si>
  <si>
    <t>Depostado / Desperdicio</t>
  </si>
  <si>
    <t>Kgs Limpio</t>
  </si>
  <si>
    <t>Cond</t>
  </si>
  <si>
    <t>Condimentos (Sal / Pimienta / Pimenton / DLP)</t>
  </si>
  <si>
    <t>70 PAX</t>
  </si>
  <si>
    <t>B.Jamon</t>
  </si>
  <si>
    <t>B.Verd</t>
  </si>
  <si>
    <t>B.Salmon</t>
  </si>
  <si>
    <t>Keppi</t>
  </si>
  <si>
    <t>Emp.Bond</t>
  </si>
  <si>
    <t>Roast Beef</t>
  </si>
  <si>
    <t>Pan</t>
  </si>
  <si>
    <t xml:space="preserve">Trigo Burgol </t>
  </si>
  <si>
    <t>Tapas empanadas</t>
  </si>
  <si>
    <t>cant</t>
  </si>
  <si>
    <t>paq</t>
  </si>
  <si>
    <t>Jamon Crudo</t>
  </si>
  <si>
    <t>Tom Dise</t>
  </si>
  <si>
    <t>Queso crema</t>
  </si>
  <si>
    <t>Salmon</t>
  </si>
  <si>
    <t>ciboulette</t>
  </si>
  <si>
    <t>Bere</t>
  </si>
  <si>
    <t>Cebo</t>
  </si>
  <si>
    <t>Zapa</t>
  </si>
  <si>
    <t>Cebolla</t>
  </si>
  <si>
    <t>Verdeo</t>
  </si>
  <si>
    <t xml:space="preserve">morron </t>
  </si>
  <si>
    <t>zanahoria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</si>
</sst>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  <numFmt numFmtId="165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9" tint="-0.49998474074526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sz val="18"/>
      <color theme="9" tint="-0.49998474074526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1">
    <xf numFmtId="0" fontId="0" fillId="0" borderId="0" xfId="0"/>
    <xf numFmtId="8" fontId="0" fillId="0" borderId="0" xfId="0" applyNumberFormat="1"/>
    <xf numFmtId="0" fontId="4" fillId="0" borderId="0" xfId="0" applyFont="1"/>
    <xf numFmtId="0" fontId="5" fillId="0" borderId="0" xfId="0" applyFont="1"/>
    <xf numFmtId="8" fontId="5" fillId="0" borderId="0" xfId="0" applyNumberFormat="1" applyFont="1"/>
    <xf numFmtId="0" fontId="6" fillId="2" borderId="0" xfId="0" applyFont="1" applyFill="1"/>
    <xf numFmtId="0" fontId="6" fillId="3" borderId="0" xfId="0" applyFont="1" applyFill="1"/>
    <xf numFmtId="0" fontId="0" fillId="0" borderId="0" xfId="0" applyAlignment="1">
      <alignment horizontal="right"/>
    </xf>
    <xf numFmtId="0" fontId="6" fillId="2" borderId="0" xfId="0" applyFont="1" applyFill="1" applyAlignment="1">
      <alignment horizontal="right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 vertical="center" wrapText="1"/>
    </xf>
    <xf numFmtId="0" fontId="7" fillId="0" borderId="0" xfId="0" applyFont="1"/>
    <xf numFmtId="8" fontId="7" fillId="0" borderId="0" xfId="0" applyNumberFormat="1" applyFont="1"/>
    <xf numFmtId="8" fontId="7" fillId="4" borderId="0" xfId="0" applyNumberFormat="1" applyFont="1" applyFill="1"/>
    <xf numFmtId="164" fontId="4" fillId="0" borderId="0" xfId="0" applyNumberFormat="1" applyFont="1" applyAlignment="1">
      <alignment horizontal="right" vertical="center" wrapText="1"/>
    </xf>
    <xf numFmtId="0" fontId="3" fillId="0" borderId="0" xfId="0" applyFont="1"/>
    <xf numFmtId="44" fontId="0" fillId="0" borderId="0" xfId="2" applyFont="1"/>
    <xf numFmtId="0" fontId="9" fillId="5" borderId="0" xfId="0" applyFont="1" applyFill="1"/>
    <xf numFmtId="0" fontId="0" fillId="7" borderId="0" xfId="0" applyFill="1"/>
    <xf numFmtId="0" fontId="7" fillId="7" borderId="0" xfId="0" applyFont="1" applyFill="1"/>
    <xf numFmtId="8" fontId="7" fillId="7" borderId="0" xfId="0" applyNumberFormat="1" applyFont="1" applyFill="1"/>
    <xf numFmtId="0" fontId="2" fillId="7" borderId="0" xfId="0" applyFont="1" applyFill="1" applyAlignment="1">
      <alignment horizontal="right"/>
    </xf>
    <xf numFmtId="0" fontId="9" fillId="7" borderId="0" xfId="0" applyFont="1" applyFill="1"/>
    <xf numFmtId="8" fontId="10" fillId="7" borderId="0" xfId="0" applyNumberFormat="1" applyFont="1" applyFill="1"/>
    <xf numFmtId="0" fontId="6" fillId="7" borderId="0" xfId="0" applyFont="1" applyFill="1"/>
    <xf numFmtId="0" fontId="2" fillId="7" borderId="0" xfId="0" applyFont="1" applyFill="1"/>
    <xf numFmtId="0" fontId="11" fillId="7" borderId="0" xfId="0" applyFont="1" applyFill="1"/>
    <xf numFmtId="0" fontId="2" fillId="7" borderId="0" xfId="0" applyFont="1" applyFill="1" applyAlignment="1">
      <alignment horizontal="center"/>
    </xf>
    <xf numFmtId="0" fontId="9" fillId="8" borderId="0" xfId="0" applyFont="1" applyFill="1"/>
    <xf numFmtId="0" fontId="5" fillId="0" borderId="4" xfId="0" applyFont="1" applyBorder="1"/>
    <xf numFmtId="0" fontId="0" fillId="0" borderId="5" xfId="0" applyBorder="1"/>
    <xf numFmtId="0" fontId="0" fillId="0" borderId="6" xfId="0" applyBorder="1" applyAlignment="1">
      <alignment horizontal="right"/>
    </xf>
    <xf numFmtId="0" fontId="0" fillId="0" borderId="7" xfId="0" applyBorder="1"/>
    <xf numFmtId="8" fontId="5" fillId="10" borderId="0" xfId="0" applyNumberFormat="1" applyFont="1" applyFill="1"/>
    <xf numFmtId="8" fontId="0" fillId="10" borderId="0" xfId="0" applyNumberFormat="1" applyFill="1"/>
    <xf numFmtId="0" fontId="0" fillId="4" borderId="8" xfId="0" applyFill="1" applyBorder="1"/>
    <xf numFmtId="0" fontId="5" fillId="4" borderId="9" xfId="0" applyFont="1" applyFill="1" applyBorder="1" applyAlignment="1">
      <alignment horizontal="right"/>
    </xf>
    <xf numFmtId="0" fontId="12" fillId="0" borderId="1" xfId="0" applyFont="1" applyBorder="1" applyAlignment="1">
      <alignment vertical="center"/>
    </xf>
    <xf numFmtId="8" fontId="10" fillId="6" borderId="2" xfId="0" applyNumberFormat="1" applyFont="1" applyFill="1" applyBorder="1" applyAlignment="1">
      <alignment vertical="center"/>
    </xf>
    <xf numFmtId="8" fontId="7" fillId="7" borderId="3" xfId="0" applyNumberFormat="1" applyFont="1" applyFill="1" applyBorder="1" applyAlignment="1">
      <alignment vertical="center"/>
    </xf>
    <xf numFmtId="0" fontId="8" fillId="0" borderId="1" xfId="0" applyFont="1" applyBorder="1"/>
    <xf numFmtId="8" fontId="8" fillId="7" borderId="2" xfId="0" applyNumberFormat="1" applyFont="1" applyFill="1" applyBorder="1"/>
    <xf numFmtId="8" fontId="8" fillId="7" borderId="3" xfId="0" applyNumberFormat="1" applyFont="1" applyFill="1" applyBorder="1"/>
    <xf numFmtId="0" fontId="9" fillId="8" borderId="0" xfId="0" applyFont="1" applyFill="1" applyAlignment="1">
      <alignment horizontal="center" vertical="center"/>
    </xf>
    <xf numFmtId="165" fontId="10" fillId="6" borderId="2" xfId="1" applyNumberFormat="1" applyFont="1" applyFill="1" applyBorder="1" applyAlignment="1">
      <alignment vertical="center"/>
    </xf>
    <xf numFmtId="8" fontId="7" fillId="7" borderId="3" xfId="0" applyNumberFormat="1" applyFont="1" applyFill="1" applyBorder="1" applyAlignment="1">
      <alignment horizontal="center" vertical="center"/>
    </xf>
    <xf numFmtId="44" fontId="0" fillId="0" borderId="0" xfId="0" applyNumberFormat="1"/>
    <xf numFmtId="8" fontId="10" fillId="6" borderId="2" xfId="0" applyNumberFormat="1" applyFont="1" applyFill="1" applyBorder="1" applyAlignment="1">
      <alignment horizontal="center" vertical="center"/>
    </xf>
    <xf numFmtId="8" fontId="10" fillId="6" borderId="1" xfId="0" applyNumberFormat="1" applyFont="1" applyFill="1" applyBorder="1" applyAlignment="1">
      <alignment horizontal="center" vertical="center"/>
    </xf>
    <xf numFmtId="8" fontId="13" fillId="7" borderId="2" xfId="0" applyNumberFormat="1" applyFont="1" applyFill="1" applyBorder="1" applyAlignment="1">
      <alignment horizontal="center"/>
    </xf>
    <xf numFmtId="0" fontId="9" fillId="9" borderId="0" xfId="0" applyFont="1" applyFill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1CF07-DF71-4C19-B2AA-14756F76F71A}">
  <sheetPr>
    <tabColor theme="9" tint="-0.249977111117893"/>
  </sheetPr>
  <dimension ref="A1:T97"/>
  <sheetViews>
    <sheetView tabSelected="1" zoomScale="85" zoomScaleNormal="85" workbookViewId="0">
      <selection activeCell="L6" sqref="L6"/>
    </sheetView>
  </sheetViews>
  <sheetFormatPr defaultColWidth="11.42578125" defaultRowHeight="15" x14ac:dyDescent="0.25"/>
  <cols>
    <col min="2" max="2" width="31.5703125" bestFit="1" customWidth="1"/>
    <col min="3" max="3" width="51" bestFit="1" customWidth="1"/>
    <col min="4" max="4" width="16.140625" bestFit="1" customWidth="1"/>
    <col min="5" max="5" width="13.28515625" style="7" bestFit="1" customWidth="1"/>
    <col min="6" max="6" width="5.28515625" style="7" bestFit="1" customWidth="1"/>
    <col min="7" max="7" width="13" bestFit="1" customWidth="1"/>
    <col min="8" max="8" width="13.7109375" bestFit="1" customWidth="1"/>
    <col min="9" max="9" width="28.7109375" bestFit="1" customWidth="1"/>
    <col min="10" max="10" width="16.140625" bestFit="1" customWidth="1"/>
    <col min="12" max="12" width="22.140625" bestFit="1" customWidth="1"/>
    <col min="13" max="13" width="15.5703125" bestFit="1" customWidth="1"/>
    <col min="18" max="18" width="13.140625" bestFit="1" customWidth="1"/>
    <col min="19" max="19" width="20.28515625" bestFit="1" customWidth="1"/>
  </cols>
  <sheetData>
    <row r="1" spans="1:20" ht="18.75" x14ac:dyDescent="0.3">
      <c r="B1" s="17" t="s">
        <v>24</v>
      </c>
      <c r="C1" s="43" t="s">
        <v>102</v>
      </c>
      <c r="D1" s="28">
        <v>20</v>
      </c>
      <c r="E1" s="5" t="s">
        <v>29</v>
      </c>
      <c r="F1" s="5"/>
      <c r="J1" s="17" t="s">
        <v>31</v>
      </c>
      <c r="K1" s="28">
        <v>2</v>
      </c>
      <c r="L1" s="17" t="s">
        <v>94</v>
      </c>
      <c r="M1" s="28">
        <v>1</v>
      </c>
    </row>
    <row r="2" spans="1:20" ht="18.75" x14ac:dyDescent="0.3">
      <c r="B2" s="17" t="s">
        <v>7</v>
      </c>
      <c r="C2" s="11"/>
      <c r="D2" s="12">
        <f>SUMIF($G12:$G153,"tot",$H12:$H153)</f>
        <v>199190</v>
      </c>
      <c r="E2" s="13">
        <f>D2/D1</f>
        <v>9959.5</v>
      </c>
      <c r="F2" s="13"/>
      <c r="G2" s="1"/>
      <c r="J2" s="17" t="s">
        <v>75</v>
      </c>
      <c r="K2" s="28">
        <v>0.5</v>
      </c>
    </row>
    <row r="3" spans="1:20" ht="19.5" thickBot="1" x14ac:dyDescent="0.35">
      <c r="B3" s="11"/>
      <c r="C3" s="11"/>
      <c r="D3" s="11"/>
    </row>
    <row r="4" spans="1:20" ht="18.75" customHeight="1" thickBot="1" x14ac:dyDescent="0.35">
      <c r="B4" s="17" t="s">
        <v>25</v>
      </c>
      <c r="C4" s="43"/>
      <c r="D4" s="28">
        <v>45</v>
      </c>
      <c r="E4" s="5" t="s">
        <v>29</v>
      </c>
      <c r="F4" s="5">
        <v>0</v>
      </c>
      <c r="J4" s="48" t="s">
        <v>76</v>
      </c>
      <c r="K4" s="47"/>
      <c r="L4" s="44">
        <f>D4</f>
        <v>45</v>
      </c>
      <c r="M4" s="45" t="s">
        <v>71</v>
      </c>
    </row>
    <row r="5" spans="1:20" s="18" customFormat="1" ht="6" customHeight="1" thickBot="1" x14ac:dyDescent="0.4">
      <c r="B5" s="19"/>
      <c r="C5" s="19"/>
      <c r="D5" s="22"/>
      <c r="E5" s="24"/>
      <c r="F5" s="24"/>
      <c r="J5" s="25"/>
      <c r="K5" s="25"/>
      <c r="L5" s="26"/>
      <c r="M5" s="27"/>
    </row>
    <row r="6" spans="1:20" ht="24" thickBot="1" x14ac:dyDescent="0.35">
      <c r="B6" s="17" t="s">
        <v>26</v>
      </c>
      <c r="C6" s="11"/>
      <c r="D6" s="12">
        <f>SUMIF($L12:L153,"tot",$M12:M153)</f>
        <v>448177.5</v>
      </c>
      <c r="E6" s="13">
        <f>D6/D4</f>
        <v>9959.5</v>
      </c>
      <c r="F6" s="13"/>
      <c r="I6" s="37" t="s">
        <v>60</v>
      </c>
      <c r="J6" s="47" t="s">
        <v>72</v>
      </c>
      <c r="K6" s="47"/>
      <c r="L6" s="38">
        <f>D6*K1</f>
        <v>896355</v>
      </c>
      <c r="M6" s="39">
        <f>L6/$L$4</f>
        <v>19919</v>
      </c>
    </row>
    <row r="7" spans="1:20" s="18" customFormat="1" ht="6" customHeight="1" thickBot="1" x14ac:dyDescent="0.4">
      <c r="B7" s="19"/>
      <c r="C7" s="19"/>
      <c r="D7" s="20"/>
      <c r="E7" s="20"/>
      <c r="F7" s="20"/>
      <c r="I7" s="21"/>
      <c r="J7" s="22"/>
      <c r="K7" s="22"/>
      <c r="L7" s="23"/>
      <c r="M7" s="20"/>
    </row>
    <row r="8" spans="1:20" ht="24" thickBot="1" x14ac:dyDescent="0.4">
      <c r="I8" s="40" t="s">
        <v>61</v>
      </c>
      <c r="J8" s="49" t="s">
        <v>73</v>
      </c>
      <c r="K8" s="49"/>
      <c r="L8" s="41">
        <f>(L6*K2)+L6</f>
        <v>1344532.5</v>
      </c>
      <c r="M8" s="42">
        <f>L8/$L$4</f>
        <v>29878.5</v>
      </c>
    </row>
    <row r="9" spans="1:20" x14ac:dyDescent="0.25">
      <c r="D9" s="34">
        <f>D2*0.005</f>
        <v>995.95</v>
      </c>
    </row>
    <row r="11" spans="1:20" ht="18.75" x14ac:dyDescent="0.3">
      <c r="P11" s="50" t="s">
        <v>97</v>
      </c>
      <c r="Q11" s="50"/>
      <c r="R11" s="50"/>
      <c r="S11" s="50"/>
      <c r="T11" s="50"/>
    </row>
    <row r="12" spans="1:20" ht="15.75" x14ac:dyDescent="0.25">
      <c r="A12" s="6" t="s">
        <v>9</v>
      </c>
      <c r="B12" s="5" t="s">
        <v>1</v>
      </c>
      <c r="C12" s="5" t="s">
        <v>30</v>
      </c>
      <c r="D12" s="5" t="s">
        <v>5</v>
      </c>
      <c r="E12" s="8" t="s">
        <v>4</v>
      </c>
      <c r="F12" s="8" t="s">
        <v>74</v>
      </c>
      <c r="G12" s="5" t="s">
        <v>3</v>
      </c>
      <c r="H12" s="5" t="s">
        <v>17</v>
      </c>
      <c r="I12" s="15"/>
      <c r="J12" s="5" t="s">
        <v>23</v>
      </c>
      <c r="K12" s="5" t="s">
        <v>22</v>
      </c>
      <c r="L12" s="5" t="s">
        <v>27</v>
      </c>
      <c r="M12" s="5" t="s">
        <v>28</v>
      </c>
      <c r="P12" t="s">
        <v>64</v>
      </c>
      <c r="Q12" t="s">
        <v>103</v>
      </c>
      <c r="R12" s="16">
        <f t="shared" ref="R12:R19" si="0">SUMIF($A$12:$A$153,$Q12,$M$12:$M$153)</f>
        <v>34200</v>
      </c>
      <c r="S12" s="46">
        <f>R12/$D$1</f>
        <v>1710</v>
      </c>
    </row>
    <row r="13" spans="1:20" ht="15.75" x14ac:dyDescent="0.25">
      <c r="A13" t="s">
        <v>107</v>
      </c>
      <c r="B13" s="2" t="s">
        <v>0</v>
      </c>
      <c r="D13" t="s">
        <v>6</v>
      </c>
      <c r="E13" s="10">
        <v>1.5</v>
      </c>
      <c r="F13" s="14">
        <v>1</v>
      </c>
      <c r="G13" s="4">
        <v>8800</v>
      </c>
      <c r="H13" s="4">
        <f>E13*G13*F13</f>
        <v>13200</v>
      </c>
      <c r="I13" s="15" t="str">
        <f>IF($F13&lt;1,"Bonificado "&amp;(1-$F13)*100&amp;" %","")</f>
        <v/>
      </c>
      <c r="J13">
        <f>E13/$D$1</f>
        <v>7.4999999999999997E-2</v>
      </c>
      <c r="K13" s="1">
        <f>H13/$D$1</f>
        <v>660</v>
      </c>
      <c r="L13">
        <f>J13*($D$1+$D$4-$D$1)</f>
        <v>3.375</v>
      </c>
      <c r="M13" s="1">
        <f>K13*($D$1+$D$4-$D$1)</f>
        <v>29700</v>
      </c>
      <c r="P13" t="s">
        <v>65</v>
      </c>
      <c r="Q13" t="s">
        <v>104</v>
      </c>
      <c r="R13" s="16">
        <f t="shared" si="0"/>
        <v>83250</v>
      </c>
      <c r="S13" s="46">
        <f t="shared" ref="S13:S14" si="1">R13/$D$1</f>
        <v>4162.5</v>
      </c>
    </row>
    <row r="14" spans="1:20" ht="15.75" x14ac:dyDescent="0.25">
      <c r="A14" t="s">
        <v>106</v>
      </c>
      <c r="B14" s="2" t="s">
        <v>108</v>
      </c>
      <c r="D14" t="s">
        <v>6</v>
      </c>
      <c r="E14" s="10">
        <v>1</v>
      </c>
      <c r="F14" s="14">
        <v>1</v>
      </c>
      <c r="G14" s="4">
        <v>16000</v>
      </c>
      <c r="H14" s="4">
        <f t="shared" ref="H14:H15" si="2">E14*G14*F14</f>
        <v>16000</v>
      </c>
      <c r="I14" s="15" t="str">
        <f t="shared" ref="I14:I15" si="3">IF($F14&lt;1,"Bonificado "&amp;(1-$F14)*100&amp;" %","")</f>
        <v/>
      </c>
      <c r="J14">
        <f t="shared" ref="J14:J15" si="4">E14/$D$1</f>
        <v>0.05</v>
      </c>
      <c r="K14" s="1">
        <f t="shared" ref="K14:K15" si="5">H14/$D$1</f>
        <v>800</v>
      </c>
      <c r="L14">
        <f t="shared" ref="L14:L15" si="6">J14*($D$1+$D$4-$D$1)</f>
        <v>2.25</v>
      </c>
      <c r="M14" s="1">
        <f t="shared" ref="M14:M15" si="7">K14*($D$1+$D$4-$D$1)</f>
        <v>36000</v>
      </c>
      <c r="P14" t="s">
        <v>66</v>
      </c>
      <c r="Q14" t="s">
        <v>105</v>
      </c>
      <c r="R14" s="16">
        <f t="shared" si="0"/>
        <v>71640</v>
      </c>
      <c r="S14" s="46">
        <f t="shared" si="1"/>
        <v>3582</v>
      </c>
    </row>
    <row r="15" spans="1:20" ht="16.5" thickBot="1" x14ac:dyDescent="0.3">
      <c r="B15" s="2"/>
      <c r="D15" t="s">
        <v>6</v>
      </c>
      <c r="E15" s="10"/>
      <c r="F15" s="14">
        <v>1</v>
      </c>
      <c r="G15" s="4">
        <v>18390</v>
      </c>
      <c r="H15" s="4">
        <f t="shared" si="2"/>
        <v>0</v>
      </c>
      <c r="I15" s="15" t="str">
        <f t="shared" si="3"/>
        <v/>
      </c>
      <c r="J15">
        <f t="shared" si="4"/>
        <v>0</v>
      </c>
      <c r="K15" s="1">
        <f t="shared" si="5"/>
        <v>0</v>
      </c>
      <c r="L15">
        <f t="shared" si="6"/>
        <v>0</v>
      </c>
      <c r="M15" s="1">
        <f t="shared" si="7"/>
        <v>0</v>
      </c>
      <c r="P15" t="s">
        <v>67</v>
      </c>
      <c r="Q15" t="s">
        <v>106</v>
      </c>
      <c r="R15" s="16">
        <f t="shared" si="0"/>
        <v>114412.5</v>
      </c>
      <c r="S15" s="46">
        <f t="shared" ref="S15:S16" si="8">R15/$D$1</f>
        <v>5720.625</v>
      </c>
    </row>
    <row r="16" spans="1:20" ht="15.75" x14ac:dyDescent="0.25">
      <c r="C16" s="29" t="s">
        <v>98</v>
      </c>
      <c r="D16" s="30">
        <v>0.08</v>
      </c>
      <c r="E16" s="31">
        <f>SUM(E13:E15)*D16</f>
        <v>0.2</v>
      </c>
      <c r="F16" s="14"/>
      <c r="G16" s="4"/>
      <c r="H16" s="4"/>
      <c r="I16" s="15"/>
      <c r="K16" s="1"/>
      <c r="M16" s="1"/>
      <c r="P16" t="s">
        <v>68</v>
      </c>
      <c r="Q16" t="s">
        <v>107</v>
      </c>
      <c r="R16" s="16">
        <f t="shared" si="0"/>
        <v>136800</v>
      </c>
      <c r="S16" s="46">
        <f t="shared" si="8"/>
        <v>6840</v>
      </c>
    </row>
    <row r="17" spans="1:19" ht="16.5" thickBot="1" x14ac:dyDescent="0.3">
      <c r="B17" s="3"/>
      <c r="C17" s="32"/>
      <c r="D17" s="35" t="s">
        <v>99</v>
      </c>
      <c r="E17" s="36">
        <f>SUM(E13:E15)-E16</f>
        <v>2.2999999999999998</v>
      </c>
      <c r="F17" s="9"/>
      <c r="G17" s="3" t="s">
        <v>16</v>
      </c>
      <c r="H17" s="4">
        <f>SUM(H13:H16)</f>
        <v>29200</v>
      </c>
      <c r="I17" s="15"/>
      <c r="L17" s="1" t="s">
        <v>16</v>
      </c>
      <c r="M17" s="4">
        <f>SUM(M13:M16)</f>
        <v>65700</v>
      </c>
      <c r="P17" t="s">
        <v>69</v>
      </c>
      <c r="R17" s="16"/>
    </row>
    <row r="18" spans="1:19" x14ac:dyDescent="0.25">
      <c r="I18" s="15"/>
      <c r="P18" t="s">
        <v>62</v>
      </c>
      <c r="R18" s="16">
        <f t="shared" si="0"/>
        <v>0</v>
      </c>
      <c r="S18" s="46">
        <f>R18/$D$1</f>
        <v>0</v>
      </c>
    </row>
    <row r="19" spans="1:19" ht="15.75" x14ac:dyDescent="0.25">
      <c r="A19" s="6" t="s">
        <v>10</v>
      </c>
      <c r="B19" s="5" t="s">
        <v>1</v>
      </c>
      <c r="C19" s="5" t="s">
        <v>30</v>
      </c>
      <c r="D19" s="5" t="s">
        <v>5</v>
      </c>
      <c r="E19" s="8" t="s">
        <v>4</v>
      </c>
      <c r="F19" s="8"/>
      <c r="G19" s="5" t="s">
        <v>3</v>
      </c>
      <c r="H19" s="5" t="s">
        <v>17</v>
      </c>
      <c r="I19" s="15"/>
      <c r="J19" s="5" t="s">
        <v>23</v>
      </c>
      <c r="K19" s="5" t="s">
        <v>22</v>
      </c>
      <c r="L19" s="5" t="s">
        <v>27</v>
      </c>
      <c r="M19" s="5" t="s">
        <v>28</v>
      </c>
      <c r="P19" t="s">
        <v>63</v>
      </c>
      <c r="R19" s="16">
        <f t="shared" si="0"/>
        <v>0</v>
      </c>
      <c r="S19" s="46">
        <f>R19/$D$1</f>
        <v>0</v>
      </c>
    </row>
    <row r="20" spans="1:19" ht="15.75" x14ac:dyDescent="0.25">
      <c r="A20" t="s">
        <v>103</v>
      </c>
      <c r="B20" s="2" t="s">
        <v>109</v>
      </c>
      <c r="D20" t="s">
        <v>2</v>
      </c>
      <c r="E20" s="7">
        <v>0</v>
      </c>
      <c r="F20" s="14">
        <v>1</v>
      </c>
      <c r="G20" s="4">
        <v>2400</v>
      </c>
      <c r="H20" s="4">
        <f t="shared" ref="H20:H24" si="9">E20*G20*F20</f>
        <v>0</v>
      </c>
      <c r="I20" s="15" t="str">
        <f t="shared" ref="I20:I24" si="10">IF($F20&lt;1,"Bonificado "&amp;(1-$F20)*100&amp;" %","")</f>
        <v/>
      </c>
      <c r="J20">
        <f t="shared" ref="J20:J24" si="11">E20/$D$1</f>
        <v>0</v>
      </c>
      <c r="K20" s="1">
        <f t="shared" ref="K20:K24" si="12">H20/$D$1</f>
        <v>0</v>
      </c>
      <c r="L20">
        <f t="shared" ref="L20:M24" si="13">J20*($D$1+$D$4-$D$1)</f>
        <v>0</v>
      </c>
      <c r="M20" s="1">
        <f t="shared" si="13"/>
        <v>0</v>
      </c>
      <c r="P20" t="s">
        <v>70</v>
      </c>
      <c r="R20" s="16"/>
    </row>
    <row r="21" spans="1:19" ht="15.75" x14ac:dyDescent="0.25">
      <c r="A21" t="s">
        <v>104</v>
      </c>
      <c r="B21" s="2" t="s">
        <v>109</v>
      </c>
      <c r="D21" t="s">
        <v>2</v>
      </c>
      <c r="E21" s="7">
        <v>0</v>
      </c>
      <c r="F21" s="14">
        <v>1</v>
      </c>
      <c r="G21" s="4">
        <v>2400</v>
      </c>
      <c r="H21" s="4">
        <f t="shared" si="9"/>
        <v>0</v>
      </c>
      <c r="I21" s="15" t="str">
        <f t="shared" si="10"/>
        <v/>
      </c>
      <c r="J21">
        <f t="shared" si="11"/>
        <v>0</v>
      </c>
      <c r="K21" s="1">
        <f t="shared" si="12"/>
        <v>0</v>
      </c>
      <c r="L21">
        <f t="shared" si="13"/>
        <v>0</v>
      </c>
      <c r="M21" s="1">
        <f t="shared" si="13"/>
        <v>0</v>
      </c>
    </row>
    <row r="22" spans="1:19" ht="15.75" x14ac:dyDescent="0.25">
      <c r="A22" t="s">
        <v>105</v>
      </c>
      <c r="B22" s="2" t="s">
        <v>109</v>
      </c>
      <c r="D22" t="s">
        <v>2</v>
      </c>
      <c r="E22" s="7">
        <f>($D$1*80/1000)</f>
        <v>1.6</v>
      </c>
      <c r="F22" s="14">
        <v>1</v>
      </c>
      <c r="G22" s="4">
        <v>2400</v>
      </c>
      <c r="H22" s="4">
        <f t="shared" si="9"/>
        <v>3840</v>
      </c>
      <c r="I22" s="15" t="str">
        <f t="shared" si="10"/>
        <v/>
      </c>
      <c r="J22">
        <f t="shared" si="11"/>
        <v>0.08</v>
      </c>
      <c r="K22" s="1">
        <f t="shared" si="12"/>
        <v>192</v>
      </c>
      <c r="L22">
        <f t="shared" si="13"/>
        <v>3.6</v>
      </c>
      <c r="M22" s="1">
        <f t="shared" si="13"/>
        <v>8640</v>
      </c>
    </row>
    <row r="23" spans="1:19" ht="15.75" x14ac:dyDescent="0.25">
      <c r="B23" s="2"/>
      <c r="D23" t="s">
        <v>2</v>
      </c>
      <c r="F23" s="14">
        <v>1</v>
      </c>
      <c r="G23" s="4">
        <v>3300</v>
      </c>
      <c r="H23" s="4">
        <f t="shared" si="9"/>
        <v>0</v>
      </c>
      <c r="I23" s="15" t="str">
        <f t="shared" si="10"/>
        <v/>
      </c>
      <c r="J23">
        <f t="shared" si="11"/>
        <v>0</v>
      </c>
      <c r="K23" s="1">
        <f t="shared" si="12"/>
        <v>0</v>
      </c>
      <c r="L23">
        <f t="shared" si="13"/>
        <v>0</v>
      </c>
      <c r="M23" s="1">
        <f t="shared" si="13"/>
        <v>0</v>
      </c>
    </row>
    <row r="24" spans="1:19" ht="15.75" x14ac:dyDescent="0.25">
      <c r="B24" s="2"/>
      <c r="D24" t="s">
        <v>2</v>
      </c>
      <c r="F24" s="14">
        <v>1</v>
      </c>
      <c r="G24" s="4">
        <v>3300</v>
      </c>
      <c r="H24" s="4">
        <f t="shared" si="9"/>
        <v>0</v>
      </c>
      <c r="I24" s="15" t="str">
        <f t="shared" si="10"/>
        <v/>
      </c>
      <c r="J24">
        <f t="shared" si="11"/>
        <v>0</v>
      </c>
      <c r="K24" s="1">
        <f t="shared" si="12"/>
        <v>0</v>
      </c>
      <c r="L24">
        <f t="shared" si="13"/>
        <v>0</v>
      </c>
      <c r="M24" s="1">
        <f t="shared" si="13"/>
        <v>0</v>
      </c>
    </row>
    <row r="25" spans="1:19" x14ac:dyDescent="0.25">
      <c r="I25" s="15"/>
    </row>
    <row r="26" spans="1:19" ht="15.75" x14ac:dyDescent="0.25">
      <c r="G26" s="3" t="s">
        <v>16</v>
      </c>
      <c r="H26" s="4">
        <f>SUM(H20:H25)</f>
        <v>3840</v>
      </c>
      <c r="I26" s="15"/>
      <c r="L26" t="s">
        <v>16</v>
      </c>
      <c r="M26" s="4">
        <f>SUM(M20:M25)</f>
        <v>8640</v>
      </c>
    </row>
    <row r="27" spans="1:19" x14ac:dyDescent="0.25">
      <c r="I27" s="15"/>
    </row>
    <row r="28" spans="1:19" ht="15.75" x14ac:dyDescent="0.25">
      <c r="A28" s="6" t="s">
        <v>11</v>
      </c>
      <c r="B28" s="5" t="s">
        <v>1</v>
      </c>
      <c r="C28" s="5" t="s">
        <v>30</v>
      </c>
      <c r="D28" s="5" t="s">
        <v>5</v>
      </c>
      <c r="E28" s="8" t="s">
        <v>4</v>
      </c>
      <c r="F28" s="8"/>
      <c r="G28" s="5" t="s">
        <v>3</v>
      </c>
      <c r="H28" s="5" t="s">
        <v>17</v>
      </c>
      <c r="I28" s="15"/>
      <c r="J28" s="5" t="s">
        <v>23</v>
      </c>
      <c r="K28" s="5" t="s">
        <v>22</v>
      </c>
      <c r="L28" s="5" t="s">
        <v>27</v>
      </c>
      <c r="M28" s="5" t="s">
        <v>28</v>
      </c>
    </row>
    <row r="29" spans="1:19" ht="15.75" x14ac:dyDescent="0.25">
      <c r="A29" t="s">
        <v>106</v>
      </c>
      <c r="B29" s="2" t="s">
        <v>110</v>
      </c>
      <c r="D29" t="s">
        <v>112</v>
      </c>
      <c r="E29" s="7">
        <v>2</v>
      </c>
      <c r="F29" s="14">
        <v>1</v>
      </c>
      <c r="G29" s="4">
        <v>9800</v>
      </c>
      <c r="H29" s="4">
        <f t="shared" ref="H29:H37" si="14">E29*G29*F29</f>
        <v>19600</v>
      </c>
      <c r="I29" s="15" t="str">
        <f t="shared" ref="I29:I37" si="15">IF($F29&lt;1,"Bonificado "&amp;(1-$F29)*100&amp;" %","")</f>
        <v/>
      </c>
      <c r="J29">
        <f t="shared" ref="J29:J37" si="16">E29/$D$1</f>
        <v>0.1</v>
      </c>
      <c r="K29" s="1">
        <f t="shared" ref="K29:K37" si="17">H29/$D$1</f>
        <v>980</v>
      </c>
      <c r="L29">
        <f t="shared" ref="L29:M57" si="18">J29*($D$1+$D$4-$D$1)</f>
        <v>4.5</v>
      </c>
      <c r="M29" s="1">
        <f t="shared" si="18"/>
        <v>44100</v>
      </c>
    </row>
    <row r="30" spans="1:19" ht="15.75" x14ac:dyDescent="0.25">
      <c r="A30" t="s">
        <v>107</v>
      </c>
      <c r="B30" s="2" t="s">
        <v>111</v>
      </c>
      <c r="D30" t="s">
        <v>113</v>
      </c>
      <c r="E30" s="7">
        <v>2</v>
      </c>
      <c r="F30" s="14">
        <v>1</v>
      </c>
      <c r="G30" s="4">
        <v>8800</v>
      </c>
      <c r="H30" s="4">
        <f t="shared" si="14"/>
        <v>17600</v>
      </c>
      <c r="I30" s="15" t="str">
        <f t="shared" si="15"/>
        <v/>
      </c>
      <c r="J30">
        <f t="shared" si="16"/>
        <v>0.1</v>
      </c>
      <c r="K30" s="1">
        <f t="shared" si="17"/>
        <v>880</v>
      </c>
      <c r="L30">
        <f t="shared" si="18"/>
        <v>4.5</v>
      </c>
      <c r="M30" s="1">
        <f t="shared" si="18"/>
        <v>39600</v>
      </c>
    </row>
    <row r="31" spans="1:19" ht="15.75" x14ac:dyDescent="0.25">
      <c r="A31" t="s">
        <v>103</v>
      </c>
      <c r="B31" s="2" t="s">
        <v>114</v>
      </c>
      <c r="D31" t="s">
        <v>6</v>
      </c>
      <c r="E31" s="7">
        <v>0.15</v>
      </c>
      <c r="F31" s="14">
        <v>1</v>
      </c>
      <c r="G31" s="4">
        <v>33000</v>
      </c>
      <c r="H31" s="4">
        <f t="shared" si="14"/>
        <v>4950</v>
      </c>
      <c r="I31" s="15" t="str">
        <f t="shared" si="15"/>
        <v/>
      </c>
      <c r="J31">
        <f t="shared" si="16"/>
        <v>7.4999999999999997E-3</v>
      </c>
      <c r="K31" s="1">
        <f t="shared" si="17"/>
        <v>247.5</v>
      </c>
      <c r="L31">
        <f t="shared" si="18"/>
        <v>0.33749999999999997</v>
      </c>
      <c r="M31" s="1">
        <f t="shared" si="18"/>
        <v>11137.5</v>
      </c>
    </row>
    <row r="32" spans="1:19" ht="15.75" x14ac:dyDescent="0.25">
      <c r="A32" t="s">
        <v>103</v>
      </c>
      <c r="B32" s="3" t="s">
        <v>115</v>
      </c>
      <c r="D32" t="s">
        <v>6</v>
      </c>
      <c r="E32" s="9">
        <v>0.1</v>
      </c>
      <c r="F32" s="14">
        <v>1</v>
      </c>
      <c r="G32" s="4">
        <v>15000</v>
      </c>
      <c r="H32" s="4">
        <f t="shared" si="14"/>
        <v>1500</v>
      </c>
      <c r="I32" s="15" t="str">
        <f t="shared" si="15"/>
        <v/>
      </c>
      <c r="J32">
        <f t="shared" si="16"/>
        <v>5.0000000000000001E-3</v>
      </c>
      <c r="K32" s="1">
        <f t="shared" si="17"/>
        <v>75</v>
      </c>
      <c r="L32">
        <f t="shared" si="18"/>
        <v>0.22500000000000001</v>
      </c>
      <c r="M32" s="1">
        <f t="shared" si="18"/>
        <v>3375</v>
      </c>
    </row>
    <row r="33" spans="1:13" ht="15.75" x14ac:dyDescent="0.25">
      <c r="A33" t="s">
        <v>105</v>
      </c>
      <c r="B33" s="2" t="s">
        <v>116</v>
      </c>
      <c r="D33" t="s">
        <v>113</v>
      </c>
      <c r="E33" s="7">
        <v>1</v>
      </c>
      <c r="F33" s="14">
        <v>1</v>
      </c>
      <c r="G33" s="4">
        <v>9000</v>
      </c>
      <c r="H33" s="4">
        <f t="shared" si="14"/>
        <v>9000</v>
      </c>
      <c r="I33" s="15" t="str">
        <f t="shared" si="15"/>
        <v/>
      </c>
      <c r="J33">
        <f t="shared" si="16"/>
        <v>0.05</v>
      </c>
      <c r="K33" s="1">
        <f t="shared" si="17"/>
        <v>450</v>
      </c>
      <c r="L33">
        <f t="shared" si="18"/>
        <v>2.25</v>
      </c>
      <c r="M33" s="1">
        <f t="shared" si="18"/>
        <v>20250</v>
      </c>
    </row>
    <row r="34" spans="1:13" ht="15.75" x14ac:dyDescent="0.25">
      <c r="A34" t="s">
        <v>105</v>
      </c>
      <c r="B34" s="2" t="s">
        <v>117</v>
      </c>
      <c r="D34" t="s">
        <v>6</v>
      </c>
      <c r="E34" s="7">
        <v>0.5</v>
      </c>
      <c r="F34" s="14">
        <v>1</v>
      </c>
      <c r="G34" s="4">
        <v>38000</v>
      </c>
      <c r="H34" s="4">
        <f t="shared" si="14"/>
        <v>19000</v>
      </c>
      <c r="I34" s="15" t="str">
        <f t="shared" si="15"/>
        <v/>
      </c>
      <c r="J34">
        <f t="shared" si="16"/>
        <v>2.5000000000000001E-2</v>
      </c>
      <c r="K34" s="1">
        <f t="shared" si="17"/>
        <v>950</v>
      </c>
      <c r="L34">
        <f t="shared" si="18"/>
        <v>1.125</v>
      </c>
      <c r="M34" s="1">
        <f t="shared" si="18"/>
        <v>42750</v>
      </c>
    </row>
    <row r="35" spans="1:13" ht="15.75" x14ac:dyDescent="0.25">
      <c r="B35" s="2"/>
      <c r="F35" s="14"/>
      <c r="G35" s="4">
        <v>8410</v>
      </c>
      <c r="H35" s="4">
        <f t="shared" si="14"/>
        <v>0</v>
      </c>
      <c r="I35" s="15" t="str">
        <f t="shared" si="15"/>
        <v>Bonificado 100 %</v>
      </c>
      <c r="J35">
        <f t="shared" si="16"/>
        <v>0</v>
      </c>
      <c r="K35" s="1">
        <f t="shared" si="17"/>
        <v>0</v>
      </c>
      <c r="L35">
        <f t="shared" si="18"/>
        <v>0</v>
      </c>
      <c r="M35" s="1">
        <f t="shared" si="18"/>
        <v>0</v>
      </c>
    </row>
    <row r="36" spans="1:13" ht="15.75" x14ac:dyDescent="0.25">
      <c r="A36" t="s">
        <v>100</v>
      </c>
      <c r="B36" s="2" t="s">
        <v>101</v>
      </c>
      <c r="D36" t="s">
        <v>2</v>
      </c>
      <c r="E36" s="7">
        <v>1</v>
      </c>
      <c r="F36" s="7">
        <v>1</v>
      </c>
      <c r="G36" s="33">
        <v>3500</v>
      </c>
      <c r="H36" s="4">
        <f t="shared" si="14"/>
        <v>3500</v>
      </c>
      <c r="I36" s="15" t="str">
        <f t="shared" si="15"/>
        <v/>
      </c>
      <c r="J36">
        <f t="shared" si="16"/>
        <v>0.05</v>
      </c>
      <c r="K36" s="1">
        <f t="shared" si="17"/>
        <v>175</v>
      </c>
      <c r="L36">
        <f t="shared" si="18"/>
        <v>2.25</v>
      </c>
      <c r="M36" s="1">
        <f t="shared" si="18"/>
        <v>7875</v>
      </c>
    </row>
    <row r="37" spans="1:13" ht="15.75" x14ac:dyDescent="0.25">
      <c r="F37" s="7">
        <v>1</v>
      </c>
      <c r="G37" s="4">
        <v>0</v>
      </c>
      <c r="H37" s="4">
        <f t="shared" si="14"/>
        <v>0</v>
      </c>
      <c r="I37" s="15" t="str">
        <f t="shared" si="15"/>
        <v/>
      </c>
      <c r="J37">
        <f t="shared" si="16"/>
        <v>0</v>
      </c>
      <c r="K37" s="1">
        <f t="shared" si="17"/>
        <v>0</v>
      </c>
      <c r="L37">
        <f t="shared" si="18"/>
        <v>0</v>
      </c>
      <c r="M37" s="1">
        <f t="shared" si="18"/>
        <v>0</v>
      </c>
    </row>
    <row r="38" spans="1:13" ht="15.75" x14ac:dyDescent="0.25">
      <c r="G38" t="s">
        <v>16</v>
      </c>
      <c r="H38" s="4">
        <f>SUM(H29:H37)</f>
        <v>75150</v>
      </c>
      <c r="I38" s="15"/>
      <c r="L38" t="s">
        <v>16</v>
      </c>
      <c r="M38" s="4">
        <f>SUM(M29:M37)</f>
        <v>169087.5</v>
      </c>
    </row>
    <row r="39" spans="1:13" x14ac:dyDescent="0.25">
      <c r="I39" s="15"/>
    </row>
    <row r="40" spans="1:13" x14ac:dyDescent="0.25">
      <c r="I40" s="15"/>
    </row>
    <row r="41" spans="1:13" ht="15.75" x14ac:dyDescent="0.25">
      <c r="A41" s="6" t="s">
        <v>12</v>
      </c>
      <c r="B41" s="5" t="s">
        <v>1</v>
      </c>
      <c r="C41" s="5" t="s">
        <v>30</v>
      </c>
      <c r="D41" s="5" t="s">
        <v>5</v>
      </c>
      <c r="E41" s="8" t="s">
        <v>4</v>
      </c>
      <c r="F41" s="8"/>
      <c r="G41" s="5" t="s">
        <v>3</v>
      </c>
      <c r="H41" s="5" t="s">
        <v>17</v>
      </c>
      <c r="I41" s="15"/>
      <c r="J41" s="5" t="s">
        <v>23</v>
      </c>
      <c r="K41" s="5" t="s">
        <v>22</v>
      </c>
      <c r="L41" s="5" t="s">
        <v>27</v>
      </c>
      <c r="M41" s="5" t="s">
        <v>28</v>
      </c>
    </row>
    <row r="42" spans="1:13" ht="15.75" x14ac:dyDescent="0.25">
      <c r="A42" t="s">
        <v>18</v>
      </c>
      <c r="B42" s="2" t="s">
        <v>13</v>
      </c>
      <c r="D42" t="s">
        <v>14</v>
      </c>
      <c r="E42" s="7">
        <v>2</v>
      </c>
      <c r="F42" s="14">
        <v>0</v>
      </c>
      <c r="G42" s="4">
        <v>1290</v>
      </c>
      <c r="H42" s="4">
        <f t="shared" ref="H42:H44" si="19">E42*G42*F42</f>
        <v>0</v>
      </c>
      <c r="I42" s="15" t="str">
        <f t="shared" ref="I42:I44" si="20">IF($F42&lt;1,"Bonificado "&amp;(1-$F42)*100&amp;" %","")</f>
        <v>Bonificado 100 %</v>
      </c>
      <c r="J42">
        <f t="shared" ref="J42:J44" si="21">E42/$D$1</f>
        <v>0.1</v>
      </c>
      <c r="K42" s="1">
        <f t="shared" ref="K42:K44" si="22">H42/$D$1</f>
        <v>0</v>
      </c>
      <c r="L42">
        <f t="shared" si="18"/>
        <v>4.5</v>
      </c>
      <c r="M42" s="1">
        <f t="shared" si="18"/>
        <v>0</v>
      </c>
    </row>
    <row r="43" spans="1:13" ht="15.75" x14ac:dyDescent="0.25">
      <c r="B43" s="2" t="s">
        <v>20</v>
      </c>
      <c r="C43" t="s">
        <v>19</v>
      </c>
      <c r="D43" t="s">
        <v>2</v>
      </c>
      <c r="E43" s="7">
        <v>1</v>
      </c>
      <c r="F43" s="14">
        <v>0</v>
      </c>
      <c r="G43" s="4">
        <v>5390</v>
      </c>
      <c r="H43" s="4">
        <f t="shared" si="19"/>
        <v>0</v>
      </c>
      <c r="I43" s="15" t="str">
        <f t="shared" si="20"/>
        <v>Bonificado 100 %</v>
      </c>
      <c r="J43">
        <f t="shared" si="21"/>
        <v>0.05</v>
      </c>
      <c r="K43" s="1">
        <f t="shared" si="22"/>
        <v>0</v>
      </c>
      <c r="L43">
        <f t="shared" si="18"/>
        <v>2.25</v>
      </c>
      <c r="M43" s="1">
        <f t="shared" si="18"/>
        <v>0</v>
      </c>
    </row>
    <row r="44" spans="1:13" ht="15.75" x14ac:dyDescent="0.25">
      <c r="B44" s="2" t="s">
        <v>21</v>
      </c>
      <c r="C44" t="s">
        <v>19</v>
      </c>
      <c r="D44" t="s">
        <v>2</v>
      </c>
      <c r="E44" s="7">
        <v>1</v>
      </c>
      <c r="F44" s="14">
        <v>0</v>
      </c>
      <c r="G44" s="4">
        <v>3800</v>
      </c>
      <c r="H44" s="4">
        <f t="shared" si="19"/>
        <v>0</v>
      </c>
      <c r="I44" s="15" t="str">
        <f t="shared" si="20"/>
        <v>Bonificado 100 %</v>
      </c>
      <c r="J44">
        <f t="shared" si="21"/>
        <v>0.05</v>
      </c>
      <c r="K44" s="1">
        <f t="shared" si="22"/>
        <v>0</v>
      </c>
      <c r="L44">
        <f t="shared" si="18"/>
        <v>2.25</v>
      </c>
      <c r="M44" s="1">
        <f t="shared" si="18"/>
        <v>0</v>
      </c>
    </row>
    <row r="45" spans="1:13" ht="15.75" x14ac:dyDescent="0.25">
      <c r="B45" s="3"/>
      <c r="E45" s="9"/>
      <c r="F45" s="9"/>
      <c r="G45" s="3" t="s">
        <v>16</v>
      </c>
      <c r="H45" s="4">
        <f>SUM(H42:H44)</f>
        <v>0</v>
      </c>
      <c r="I45" s="15"/>
      <c r="K45" s="1"/>
      <c r="L45" t="s">
        <v>16</v>
      </c>
      <c r="M45" s="4">
        <f>SUM(M42:M44)</f>
        <v>0</v>
      </c>
    </row>
    <row r="46" spans="1:13" x14ac:dyDescent="0.25">
      <c r="I46" s="15"/>
    </row>
    <row r="47" spans="1:13" x14ac:dyDescent="0.25">
      <c r="I47" s="15"/>
    </row>
    <row r="48" spans="1:13" ht="15.75" x14ac:dyDescent="0.25">
      <c r="A48" s="6" t="s">
        <v>15</v>
      </c>
      <c r="B48" s="5" t="s">
        <v>1</v>
      </c>
      <c r="C48" s="5" t="s">
        <v>30</v>
      </c>
      <c r="D48" s="5" t="s">
        <v>5</v>
      </c>
      <c r="E48" s="8" t="s">
        <v>4</v>
      </c>
      <c r="F48" s="8"/>
      <c r="G48" s="5" t="s">
        <v>3</v>
      </c>
      <c r="H48" s="5" t="s">
        <v>17</v>
      </c>
      <c r="I48" s="15"/>
      <c r="J48" s="5" t="s">
        <v>23</v>
      </c>
      <c r="K48" s="5" t="s">
        <v>22</v>
      </c>
      <c r="L48" s="5" t="s">
        <v>27</v>
      </c>
      <c r="M48" s="5" t="s">
        <v>28</v>
      </c>
    </row>
    <row r="49" spans="1:13" ht="15.75" x14ac:dyDescent="0.25">
      <c r="A49" t="s">
        <v>103</v>
      </c>
      <c r="B49" s="2" t="s">
        <v>118</v>
      </c>
      <c r="D49" t="s">
        <v>113</v>
      </c>
      <c r="E49" s="7">
        <v>0.25</v>
      </c>
      <c r="F49" s="14">
        <v>1</v>
      </c>
      <c r="G49" s="4">
        <v>35000</v>
      </c>
      <c r="H49" s="4">
        <f t="shared" ref="H49:H57" si="23">E49*G49*F49</f>
        <v>8750</v>
      </c>
      <c r="I49" s="15" t="str">
        <f t="shared" ref="I49:I57" si="24">IF($F49&lt;1,"Bonificado "&amp;(1-$F49)*100&amp;" %","")</f>
        <v/>
      </c>
      <c r="J49">
        <f t="shared" ref="J49:J57" si="25">E49/$D$1</f>
        <v>1.2500000000000001E-2</v>
      </c>
      <c r="K49" s="1">
        <f t="shared" ref="K49:K57" si="26">H49/$D$1</f>
        <v>437.5</v>
      </c>
      <c r="L49">
        <f t="shared" si="18"/>
        <v>0.5625</v>
      </c>
      <c r="M49" s="1">
        <f t="shared" si="18"/>
        <v>19687.5</v>
      </c>
    </row>
    <row r="50" spans="1:13" ht="15.75" x14ac:dyDescent="0.25">
      <c r="A50" t="s">
        <v>104</v>
      </c>
      <c r="B50" s="2" t="s">
        <v>119</v>
      </c>
      <c r="D50" t="s">
        <v>8</v>
      </c>
      <c r="E50" s="7">
        <v>1</v>
      </c>
      <c r="F50" s="14">
        <v>1</v>
      </c>
      <c r="G50" s="4">
        <v>13000</v>
      </c>
      <c r="H50" s="4">
        <f t="shared" si="23"/>
        <v>13000</v>
      </c>
      <c r="I50" s="15" t="str">
        <f t="shared" si="24"/>
        <v/>
      </c>
      <c r="J50">
        <f t="shared" si="25"/>
        <v>0.05</v>
      </c>
      <c r="K50" s="1">
        <f t="shared" si="26"/>
        <v>650</v>
      </c>
      <c r="L50">
        <f t="shared" si="18"/>
        <v>2.25</v>
      </c>
      <c r="M50" s="1">
        <f t="shared" si="18"/>
        <v>29250</v>
      </c>
    </row>
    <row r="51" spans="1:13" ht="15.75" x14ac:dyDescent="0.25">
      <c r="A51" t="s">
        <v>104</v>
      </c>
      <c r="B51" s="2" t="s">
        <v>120</v>
      </c>
      <c r="D51" t="s">
        <v>8</v>
      </c>
      <c r="E51" s="7">
        <v>1</v>
      </c>
      <c r="F51" s="14">
        <v>1</v>
      </c>
      <c r="G51" s="4">
        <v>13000</v>
      </c>
      <c r="H51" s="4">
        <f t="shared" si="23"/>
        <v>13000</v>
      </c>
      <c r="I51" s="15" t="str">
        <f t="shared" si="24"/>
        <v/>
      </c>
      <c r="J51">
        <f t="shared" si="25"/>
        <v>0.05</v>
      </c>
      <c r="K51" s="1">
        <f t="shared" si="26"/>
        <v>650</v>
      </c>
      <c r="L51">
        <f t="shared" si="18"/>
        <v>2.25</v>
      </c>
      <c r="M51" s="1">
        <f t="shared" si="18"/>
        <v>29250</v>
      </c>
    </row>
    <row r="52" spans="1:13" ht="15.75" x14ac:dyDescent="0.25">
      <c r="A52" t="s">
        <v>104</v>
      </c>
      <c r="B52" s="3" t="s">
        <v>121</v>
      </c>
      <c r="D52" t="s">
        <v>8</v>
      </c>
      <c r="E52" s="9">
        <v>1</v>
      </c>
      <c r="F52" s="14">
        <v>1</v>
      </c>
      <c r="G52" s="4">
        <v>11000</v>
      </c>
      <c r="H52" s="4">
        <f t="shared" si="23"/>
        <v>11000</v>
      </c>
      <c r="I52" s="15" t="str">
        <f t="shared" si="24"/>
        <v/>
      </c>
      <c r="J52">
        <f t="shared" si="25"/>
        <v>0.05</v>
      </c>
      <c r="K52" s="1">
        <f t="shared" si="26"/>
        <v>550</v>
      </c>
      <c r="L52">
        <f t="shared" si="18"/>
        <v>2.25</v>
      </c>
      <c r="M52" s="1">
        <f t="shared" si="18"/>
        <v>24750</v>
      </c>
    </row>
    <row r="53" spans="1:13" ht="15.75" x14ac:dyDescent="0.25">
      <c r="A53" t="s">
        <v>106</v>
      </c>
      <c r="B53" s="2" t="s">
        <v>122</v>
      </c>
      <c r="D53" t="s">
        <v>8</v>
      </c>
      <c r="E53" s="7">
        <v>0.5</v>
      </c>
      <c r="F53" s="14">
        <v>1</v>
      </c>
      <c r="G53" s="4">
        <v>13000</v>
      </c>
      <c r="H53" s="4">
        <f t="shared" si="23"/>
        <v>6500</v>
      </c>
      <c r="I53" s="15" t="str">
        <f t="shared" si="24"/>
        <v/>
      </c>
      <c r="J53">
        <f t="shared" si="25"/>
        <v>2.5000000000000001E-2</v>
      </c>
      <c r="K53" s="1">
        <f t="shared" si="26"/>
        <v>325</v>
      </c>
      <c r="L53">
        <f t="shared" si="18"/>
        <v>1.125</v>
      </c>
      <c r="M53" s="1">
        <f t="shared" si="18"/>
        <v>14625</v>
      </c>
    </row>
    <row r="54" spans="1:13" ht="15.75" x14ac:dyDescent="0.25">
      <c r="A54" t="s">
        <v>106</v>
      </c>
      <c r="B54" s="2" t="s">
        <v>123</v>
      </c>
      <c r="D54" t="s">
        <v>8</v>
      </c>
      <c r="E54" s="7">
        <v>0.25</v>
      </c>
      <c r="F54" s="14">
        <v>1</v>
      </c>
      <c r="G54" s="4">
        <v>35000</v>
      </c>
      <c r="H54" s="4">
        <f t="shared" si="23"/>
        <v>8750</v>
      </c>
      <c r="I54" s="15" t="str">
        <f t="shared" si="24"/>
        <v/>
      </c>
      <c r="J54">
        <f t="shared" si="25"/>
        <v>1.2500000000000001E-2</v>
      </c>
      <c r="K54" s="1">
        <f t="shared" si="26"/>
        <v>437.5</v>
      </c>
      <c r="L54">
        <f t="shared" si="18"/>
        <v>0.5625</v>
      </c>
      <c r="M54" s="1">
        <f t="shared" si="18"/>
        <v>19687.5</v>
      </c>
    </row>
    <row r="55" spans="1:13" ht="15.75" x14ac:dyDescent="0.25">
      <c r="A55" t="s">
        <v>107</v>
      </c>
      <c r="B55" s="2" t="s">
        <v>122</v>
      </c>
      <c r="D55" t="s">
        <v>8</v>
      </c>
      <c r="E55" s="7">
        <v>1</v>
      </c>
      <c r="F55" s="7">
        <v>1</v>
      </c>
      <c r="G55" s="4">
        <v>13000</v>
      </c>
      <c r="H55" s="4">
        <f t="shared" si="23"/>
        <v>13000</v>
      </c>
      <c r="I55" s="15" t="str">
        <f t="shared" si="24"/>
        <v/>
      </c>
      <c r="J55">
        <f t="shared" si="25"/>
        <v>0.05</v>
      </c>
      <c r="K55" s="1">
        <f t="shared" si="26"/>
        <v>650</v>
      </c>
      <c r="L55">
        <f t="shared" si="18"/>
        <v>2.25</v>
      </c>
      <c r="M55" s="1">
        <f t="shared" si="18"/>
        <v>29250</v>
      </c>
    </row>
    <row r="56" spans="1:13" ht="15.75" x14ac:dyDescent="0.25">
      <c r="A56" t="s">
        <v>107</v>
      </c>
      <c r="B56" s="2" t="s">
        <v>124</v>
      </c>
      <c r="D56" t="s">
        <v>8</v>
      </c>
      <c r="E56" s="7">
        <v>0.3</v>
      </c>
      <c r="F56" s="7">
        <v>1</v>
      </c>
      <c r="G56" s="4">
        <v>35000</v>
      </c>
      <c r="H56" s="4">
        <f t="shared" si="23"/>
        <v>10500</v>
      </c>
      <c r="I56" s="15" t="str">
        <f t="shared" si="24"/>
        <v/>
      </c>
      <c r="J56">
        <f t="shared" si="25"/>
        <v>1.4999999999999999E-2</v>
      </c>
      <c r="K56" s="1">
        <f t="shared" si="26"/>
        <v>525</v>
      </c>
      <c r="L56">
        <f t="shared" si="18"/>
        <v>0.67499999999999993</v>
      </c>
      <c r="M56" s="1">
        <f t="shared" si="18"/>
        <v>23625</v>
      </c>
    </row>
    <row r="57" spans="1:13" ht="15.75" x14ac:dyDescent="0.25">
      <c r="A57" t="s">
        <v>107</v>
      </c>
      <c r="B57" s="2" t="s">
        <v>125</v>
      </c>
      <c r="D57" t="s">
        <v>8</v>
      </c>
      <c r="E57" s="7">
        <v>0.5</v>
      </c>
      <c r="F57" s="7">
        <v>1</v>
      </c>
      <c r="G57" s="4">
        <v>13000</v>
      </c>
      <c r="H57" s="4">
        <f t="shared" si="23"/>
        <v>6500</v>
      </c>
      <c r="I57" s="15" t="str">
        <f t="shared" si="24"/>
        <v/>
      </c>
      <c r="J57">
        <f t="shared" si="25"/>
        <v>2.5000000000000001E-2</v>
      </c>
      <c r="K57" s="1">
        <f t="shared" si="26"/>
        <v>325</v>
      </c>
      <c r="L57">
        <f t="shared" si="18"/>
        <v>1.125</v>
      </c>
      <c r="M57" s="1">
        <f t="shared" si="18"/>
        <v>14625</v>
      </c>
    </row>
    <row r="58" spans="1:13" ht="15.75" x14ac:dyDescent="0.25">
      <c r="B58" s="2"/>
      <c r="G58" t="s">
        <v>16</v>
      </c>
      <c r="H58" s="4">
        <f>SUM(H49:H57)</f>
        <v>91000</v>
      </c>
      <c r="I58" s="15"/>
      <c r="L58" t="s">
        <v>16</v>
      </c>
      <c r="M58" s="4">
        <f>SUM(M49:M57)</f>
        <v>204750</v>
      </c>
    </row>
    <row r="59" spans="1:13" x14ac:dyDescent="0.25">
      <c r="I59" s="15"/>
    </row>
    <row r="60" spans="1:13" x14ac:dyDescent="0.25">
      <c r="I60" s="15"/>
    </row>
    <row r="61" spans="1:13" ht="15.75" x14ac:dyDescent="0.25">
      <c r="A61" s="6" t="s">
        <v>32</v>
      </c>
      <c r="B61" s="5" t="s">
        <v>1</v>
      </c>
      <c r="C61" s="5" t="s">
        <v>30</v>
      </c>
      <c r="D61" s="5"/>
      <c r="E61" s="8" t="s">
        <v>35</v>
      </c>
      <c r="F61" s="8"/>
      <c r="G61" s="5" t="s">
        <v>36</v>
      </c>
      <c r="H61" s="5"/>
      <c r="I61" s="15"/>
      <c r="J61" s="5" t="s">
        <v>23</v>
      </c>
      <c r="K61" s="5" t="s">
        <v>22</v>
      </c>
      <c r="L61" s="5" t="s">
        <v>27</v>
      </c>
      <c r="M61" s="5" t="s">
        <v>28</v>
      </c>
    </row>
    <row r="62" spans="1:13" ht="15.75" x14ac:dyDescent="0.25">
      <c r="A62" t="s">
        <v>44</v>
      </c>
      <c r="B62" s="2" t="s">
        <v>34</v>
      </c>
      <c r="C62" t="s">
        <v>42</v>
      </c>
      <c r="D62" t="s">
        <v>41</v>
      </c>
      <c r="E62" s="7">
        <v>0</v>
      </c>
      <c r="F62" s="14">
        <v>0</v>
      </c>
      <c r="G62" s="4">
        <v>15000</v>
      </c>
      <c r="H62" s="4">
        <f t="shared" ref="H62:H70" si="27">E62*G62*F62</f>
        <v>0</v>
      </c>
      <c r="I62" s="15" t="str">
        <f t="shared" ref="I62:I70" si="28">IF($F62&lt;1,"Bonificado "&amp;(1-$F62)*100&amp;" %","")</f>
        <v>Bonificado 100 %</v>
      </c>
      <c r="J62">
        <f t="shared" ref="J62:J70" si="29">E62/$D$1</f>
        <v>0</v>
      </c>
      <c r="K62" s="1">
        <f t="shared" ref="K62:K70" si="30">H62/$D$1</f>
        <v>0</v>
      </c>
      <c r="L62">
        <f t="shared" ref="L62:L70" si="31">J62*($D$1+$D$4-$D$1)</f>
        <v>0</v>
      </c>
      <c r="M62" s="1">
        <f t="shared" ref="M62:M70" si="32">K62*($D$1+$D$4-$D$1)</f>
        <v>0</v>
      </c>
    </row>
    <row r="63" spans="1:13" ht="15.75" x14ac:dyDescent="0.25">
      <c r="A63" t="s">
        <v>43</v>
      </c>
      <c r="B63" s="2" t="s">
        <v>37</v>
      </c>
      <c r="D63" t="s">
        <v>41</v>
      </c>
      <c r="E63" s="7">
        <v>0</v>
      </c>
      <c r="F63" s="14">
        <v>1</v>
      </c>
      <c r="G63" s="4">
        <v>25000</v>
      </c>
      <c r="H63" s="4">
        <f t="shared" si="27"/>
        <v>0</v>
      </c>
      <c r="I63" s="15" t="str">
        <f t="shared" si="28"/>
        <v/>
      </c>
      <c r="J63">
        <f t="shared" si="29"/>
        <v>0</v>
      </c>
      <c r="K63" s="1">
        <f t="shared" si="30"/>
        <v>0</v>
      </c>
      <c r="L63">
        <f t="shared" si="31"/>
        <v>0</v>
      </c>
      <c r="M63" s="1">
        <f t="shared" si="32"/>
        <v>0</v>
      </c>
    </row>
    <row r="64" spans="1:13" ht="15.75" x14ac:dyDescent="0.25">
      <c r="A64" t="s">
        <v>45</v>
      </c>
      <c r="B64" s="2" t="s">
        <v>38</v>
      </c>
      <c r="D64" t="s">
        <v>41</v>
      </c>
      <c r="E64" s="7">
        <v>0</v>
      </c>
      <c r="F64" s="14">
        <v>0</v>
      </c>
      <c r="G64" s="4">
        <v>10000</v>
      </c>
      <c r="H64" s="4">
        <f t="shared" si="27"/>
        <v>0</v>
      </c>
      <c r="I64" s="15" t="str">
        <f t="shared" si="28"/>
        <v>Bonificado 100 %</v>
      </c>
      <c r="J64">
        <f t="shared" si="29"/>
        <v>0</v>
      </c>
      <c r="K64" s="1">
        <f t="shared" si="30"/>
        <v>0</v>
      </c>
      <c r="L64">
        <f t="shared" si="31"/>
        <v>0</v>
      </c>
      <c r="M64" s="1">
        <f t="shared" si="32"/>
        <v>0</v>
      </c>
    </row>
    <row r="65" spans="1:13" ht="15.75" x14ac:dyDescent="0.25">
      <c r="A65" t="s">
        <v>46</v>
      </c>
      <c r="B65" s="3" t="s">
        <v>39</v>
      </c>
      <c r="D65" t="s">
        <v>40</v>
      </c>
      <c r="E65" s="7">
        <v>0</v>
      </c>
      <c r="F65" s="14">
        <v>0</v>
      </c>
      <c r="G65" s="4">
        <v>2000</v>
      </c>
      <c r="H65" s="4">
        <f t="shared" si="27"/>
        <v>0</v>
      </c>
      <c r="I65" s="15" t="str">
        <f t="shared" si="28"/>
        <v>Bonificado 100 %</v>
      </c>
      <c r="J65">
        <f t="shared" si="29"/>
        <v>0</v>
      </c>
      <c r="K65" s="1">
        <f t="shared" si="30"/>
        <v>0</v>
      </c>
      <c r="L65">
        <f t="shared" si="31"/>
        <v>0</v>
      </c>
      <c r="M65" s="1">
        <f t="shared" si="32"/>
        <v>0</v>
      </c>
    </row>
    <row r="66" spans="1:13" ht="15.75" x14ac:dyDescent="0.25">
      <c r="B66" s="2"/>
      <c r="E66" s="7">
        <v>0</v>
      </c>
      <c r="F66" s="14">
        <v>1</v>
      </c>
      <c r="G66" s="4">
        <v>0</v>
      </c>
      <c r="H66" s="4">
        <f t="shared" si="27"/>
        <v>0</v>
      </c>
      <c r="I66" s="15" t="str">
        <f t="shared" si="28"/>
        <v/>
      </c>
      <c r="J66">
        <f t="shared" si="29"/>
        <v>0</v>
      </c>
      <c r="K66" s="1">
        <f t="shared" si="30"/>
        <v>0</v>
      </c>
      <c r="L66">
        <f t="shared" si="31"/>
        <v>0</v>
      </c>
      <c r="M66" s="1">
        <f t="shared" si="32"/>
        <v>0</v>
      </c>
    </row>
    <row r="67" spans="1:13" ht="15.75" x14ac:dyDescent="0.25">
      <c r="B67" s="2"/>
      <c r="E67" s="7">
        <v>0</v>
      </c>
      <c r="F67" s="14">
        <v>1</v>
      </c>
      <c r="G67" s="4">
        <v>0</v>
      </c>
      <c r="H67" s="4">
        <f t="shared" si="27"/>
        <v>0</v>
      </c>
      <c r="I67" s="15" t="str">
        <f t="shared" si="28"/>
        <v/>
      </c>
      <c r="J67">
        <f t="shared" si="29"/>
        <v>0</v>
      </c>
      <c r="K67" s="1">
        <f t="shared" si="30"/>
        <v>0</v>
      </c>
      <c r="L67">
        <f t="shared" si="31"/>
        <v>0</v>
      </c>
      <c r="M67" s="1">
        <f t="shared" si="32"/>
        <v>0</v>
      </c>
    </row>
    <row r="68" spans="1:13" ht="15.75" x14ac:dyDescent="0.25">
      <c r="F68" s="7">
        <v>1</v>
      </c>
      <c r="G68" s="4">
        <v>0</v>
      </c>
      <c r="H68" s="4">
        <f t="shared" si="27"/>
        <v>0</v>
      </c>
      <c r="I68" s="15" t="str">
        <f t="shared" si="28"/>
        <v/>
      </c>
      <c r="J68">
        <f t="shared" si="29"/>
        <v>0</v>
      </c>
      <c r="K68" s="1">
        <f t="shared" si="30"/>
        <v>0</v>
      </c>
      <c r="L68">
        <f t="shared" si="31"/>
        <v>0</v>
      </c>
      <c r="M68" s="1">
        <f t="shared" si="32"/>
        <v>0</v>
      </c>
    </row>
    <row r="69" spans="1:13" ht="15.75" x14ac:dyDescent="0.25">
      <c r="F69" s="7">
        <v>1</v>
      </c>
      <c r="G69" s="4">
        <v>0</v>
      </c>
      <c r="H69" s="4">
        <f t="shared" si="27"/>
        <v>0</v>
      </c>
      <c r="I69" s="15" t="str">
        <f t="shared" si="28"/>
        <v/>
      </c>
      <c r="J69">
        <f t="shared" si="29"/>
        <v>0</v>
      </c>
      <c r="K69" s="1">
        <f t="shared" si="30"/>
        <v>0</v>
      </c>
      <c r="L69">
        <f t="shared" si="31"/>
        <v>0</v>
      </c>
      <c r="M69" s="1">
        <f t="shared" si="32"/>
        <v>0</v>
      </c>
    </row>
    <row r="70" spans="1:13" ht="15.75" x14ac:dyDescent="0.25">
      <c r="F70" s="7">
        <v>1</v>
      </c>
      <c r="G70" s="4">
        <v>0</v>
      </c>
      <c r="H70" s="4">
        <f t="shared" si="27"/>
        <v>0</v>
      </c>
      <c r="I70" s="15" t="str">
        <f t="shared" si="28"/>
        <v/>
      </c>
      <c r="J70">
        <f t="shared" si="29"/>
        <v>0</v>
      </c>
      <c r="K70" s="1">
        <f t="shared" si="30"/>
        <v>0</v>
      </c>
      <c r="L70">
        <f t="shared" si="31"/>
        <v>0</v>
      </c>
      <c r="M70" s="1">
        <f t="shared" si="32"/>
        <v>0</v>
      </c>
    </row>
    <row r="71" spans="1:13" ht="15.75" x14ac:dyDescent="0.25">
      <c r="G71" t="s">
        <v>16</v>
      </c>
      <c r="H71" s="4">
        <f>SUM(H62:H70)</f>
        <v>0</v>
      </c>
      <c r="I71" s="15"/>
      <c r="K71" t="s">
        <v>70</v>
      </c>
      <c r="L71" t="s">
        <v>16</v>
      </c>
      <c r="M71" s="4">
        <f>SUM(M62:M70)</f>
        <v>0</v>
      </c>
    </row>
    <row r="72" spans="1:13" x14ac:dyDescent="0.25">
      <c r="I72" s="15"/>
    </row>
    <row r="73" spans="1:13" x14ac:dyDescent="0.25">
      <c r="I73" s="15"/>
    </row>
    <row r="74" spans="1:13" ht="15.75" x14ac:dyDescent="0.25">
      <c r="A74" s="6" t="s">
        <v>33</v>
      </c>
      <c r="B74" s="5" t="s">
        <v>1</v>
      </c>
      <c r="C74" s="5" t="s">
        <v>30</v>
      </c>
      <c r="D74" s="5"/>
      <c r="E74" s="8" t="s">
        <v>35</v>
      </c>
      <c r="F74" s="8"/>
      <c r="G74" s="5" t="s">
        <v>36</v>
      </c>
      <c r="H74" s="5"/>
      <c r="I74" s="15"/>
      <c r="J74" s="5" t="s">
        <v>23</v>
      </c>
      <c r="K74" s="5" t="s">
        <v>22</v>
      </c>
      <c r="L74" s="5" t="s">
        <v>27</v>
      </c>
      <c r="M74" s="5" t="s">
        <v>28</v>
      </c>
    </row>
    <row r="75" spans="1:13" ht="15.75" x14ac:dyDescent="0.25">
      <c r="A75" t="s">
        <v>47</v>
      </c>
      <c r="B75" s="2" t="s">
        <v>48</v>
      </c>
      <c r="D75" t="s">
        <v>41</v>
      </c>
      <c r="E75" s="7">
        <v>0</v>
      </c>
      <c r="F75" s="7">
        <v>1</v>
      </c>
      <c r="G75" s="4">
        <v>0</v>
      </c>
      <c r="H75" s="4">
        <f t="shared" ref="H75:H83" si="33">E75*G75*F75</f>
        <v>0</v>
      </c>
      <c r="I75" s="15" t="str">
        <f t="shared" ref="I75:I83" si="34">IF($F75&lt;1,"Bonificado "&amp;(1-$F75)*100&amp;" %","")</f>
        <v/>
      </c>
      <c r="J75">
        <f t="shared" ref="J75:J83" si="35">E75/$D$1</f>
        <v>0</v>
      </c>
      <c r="K75" s="1">
        <f t="shared" ref="K75:K83" si="36">H75/$D$1</f>
        <v>0</v>
      </c>
      <c r="L75">
        <f t="shared" ref="L75:L83" si="37">J75*($D$1+$D$4-$D$1)</f>
        <v>0</v>
      </c>
      <c r="M75" s="1">
        <f t="shared" ref="M75:M83" si="38">K75*($D$1+$D$4-$D$1)</f>
        <v>0</v>
      </c>
    </row>
    <row r="76" spans="1:13" ht="15.75" x14ac:dyDescent="0.25">
      <c r="A76" t="s">
        <v>49</v>
      </c>
      <c r="B76" s="2" t="s">
        <v>50</v>
      </c>
      <c r="C76" t="s">
        <v>59</v>
      </c>
      <c r="D76" t="s">
        <v>57</v>
      </c>
      <c r="E76" s="7">
        <v>0</v>
      </c>
      <c r="F76" s="7">
        <v>1</v>
      </c>
      <c r="G76" s="4">
        <v>2500</v>
      </c>
      <c r="H76" s="4">
        <f t="shared" si="33"/>
        <v>0</v>
      </c>
      <c r="I76" s="15" t="str">
        <f t="shared" si="34"/>
        <v/>
      </c>
      <c r="J76">
        <f t="shared" si="35"/>
        <v>0</v>
      </c>
      <c r="K76" s="1">
        <f t="shared" si="36"/>
        <v>0</v>
      </c>
      <c r="L76">
        <f t="shared" si="37"/>
        <v>0</v>
      </c>
      <c r="M76" s="1">
        <f t="shared" si="38"/>
        <v>0</v>
      </c>
    </row>
    <row r="77" spans="1:13" ht="15.75" x14ac:dyDescent="0.25">
      <c r="A77" t="s">
        <v>49</v>
      </c>
      <c r="B77" s="2" t="s">
        <v>50</v>
      </c>
      <c r="C77" t="s">
        <v>59</v>
      </c>
      <c r="D77" t="s">
        <v>57</v>
      </c>
      <c r="E77" s="7">
        <v>0</v>
      </c>
      <c r="F77" s="7">
        <v>1</v>
      </c>
      <c r="G77" s="4">
        <v>2500</v>
      </c>
      <c r="H77" s="4">
        <f t="shared" si="33"/>
        <v>0</v>
      </c>
      <c r="I77" s="15" t="str">
        <f t="shared" si="34"/>
        <v/>
      </c>
      <c r="J77">
        <f t="shared" si="35"/>
        <v>0</v>
      </c>
      <c r="K77" s="1">
        <f t="shared" si="36"/>
        <v>0</v>
      </c>
      <c r="L77">
        <f t="shared" si="37"/>
        <v>0</v>
      </c>
      <c r="M77" s="1">
        <f t="shared" si="38"/>
        <v>0</v>
      </c>
    </row>
    <row r="78" spans="1:13" ht="15.75" x14ac:dyDescent="0.25">
      <c r="A78" t="s">
        <v>51</v>
      </c>
      <c r="B78" s="2" t="s">
        <v>52</v>
      </c>
      <c r="D78" t="s">
        <v>41</v>
      </c>
      <c r="E78" s="7">
        <v>0</v>
      </c>
      <c r="F78" s="7">
        <v>1</v>
      </c>
      <c r="G78" s="4">
        <v>0</v>
      </c>
      <c r="H78" s="4">
        <f t="shared" si="33"/>
        <v>0</v>
      </c>
      <c r="I78" s="15" t="str">
        <f t="shared" si="34"/>
        <v/>
      </c>
      <c r="J78">
        <f t="shared" si="35"/>
        <v>0</v>
      </c>
      <c r="K78" s="1">
        <f t="shared" si="36"/>
        <v>0</v>
      </c>
      <c r="L78">
        <f t="shared" si="37"/>
        <v>0</v>
      </c>
      <c r="M78" s="1">
        <f t="shared" si="38"/>
        <v>0</v>
      </c>
    </row>
    <row r="79" spans="1:13" ht="15.75" x14ac:dyDescent="0.25">
      <c r="A79" t="s">
        <v>53</v>
      </c>
      <c r="B79" s="3" t="s">
        <v>54</v>
      </c>
      <c r="D79" t="s">
        <v>41</v>
      </c>
      <c r="E79" s="7">
        <v>0</v>
      </c>
      <c r="F79" s="7">
        <v>1</v>
      </c>
      <c r="G79" s="4">
        <v>0</v>
      </c>
      <c r="H79" s="4">
        <f t="shared" si="33"/>
        <v>0</v>
      </c>
      <c r="I79" s="15" t="str">
        <f t="shared" si="34"/>
        <v/>
      </c>
      <c r="J79">
        <f t="shared" si="35"/>
        <v>0</v>
      </c>
      <c r="K79" s="1">
        <f t="shared" si="36"/>
        <v>0</v>
      </c>
      <c r="L79">
        <f t="shared" si="37"/>
        <v>0</v>
      </c>
      <c r="M79" s="1">
        <f t="shared" si="38"/>
        <v>0</v>
      </c>
    </row>
    <row r="80" spans="1:13" ht="15.75" x14ac:dyDescent="0.25">
      <c r="A80" t="s">
        <v>55</v>
      </c>
      <c r="B80" s="2" t="s">
        <v>56</v>
      </c>
      <c r="D80" t="s">
        <v>41</v>
      </c>
      <c r="E80" s="7">
        <v>0</v>
      </c>
      <c r="F80" s="7">
        <v>1</v>
      </c>
      <c r="G80" s="4">
        <v>0</v>
      </c>
      <c r="H80" s="4">
        <f t="shared" si="33"/>
        <v>0</v>
      </c>
      <c r="I80" s="15" t="str">
        <f t="shared" si="34"/>
        <v/>
      </c>
      <c r="J80">
        <f t="shared" si="35"/>
        <v>0</v>
      </c>
      <c r="K80" s="1">
        <f t="shared" si="36"/>
        <v>0</v>
      </c>
      <c r="L80">
        <f t="shared" si="37"/>
        <v>0</v>
      </c>
      <c r="M80" s="1">
        <f t="shared" si="38"/>
        <v>0</v>
      </c>
    </row>
    <row r="81" spans="1:13" ht="15.75" x14ac:dyDescent="0.25">
      <c r="A81" t="s">
        <v>58</v>
      </c>
      <c r="B81" s="2" t="s">
        <v>39</v>
      </c>
      <c r="D81" t="s">
        <v>57</v>
      </c>
      <c r="E81" s="7">
        <v>0</v>
      </c>
      <c r="F81" s="7">
        <v>1</v>
      </c>
      <c r="G81" s="4">
        <v>2000</v>
      </c>
      <c r="H81" s="4">
        <f t="shared" si="33"/>
        <v>0</v>
      </c>
      <c r="I81" s="15" t="str">
        <f t="shared" si="34"/>
        <v/>
      </c>
      <c r="J81">
        <f t="shared" si="35"/>
        <v>0</v>
      </c>
      <c r="K81" s="1">
        <f t="shared" si="36"/>
        <v>0</v>
      </c>
      <c r="L81">
        <f t="shared" si="37"/>
        <v>0</v>
      </c>
      <c r="M81" s="1">
        <f t="shared" si="38"/>
        <v>0</v>
      </c>
    </row>
    <row r="82" spans="1:13" ht="15.75" x14ac:dyDescent="0.25">
      <c r="F82" s="7">
        <v>1</v>
      </c>
      <c r="G82" s="4">
        <v>0</v>
      </c>
      <c r="H82" s="4">
        <f t="shared" si="33"/>
        <v>0</v>
      </c>
      <c r="I82" s="15" t="str">
        <f t="shared" si="34"/>
        <v/>
      </c>
      <c r="J82">
        <f t="shared" si="35"/>
        <v>0</v>
      </c>
      <c r="K82" s="1">
        <f t="shared" si="36"/>
        <v>0</v>
      </c>
      <c r="L82">
        <f t="shared" si="37"/>
        <v>0</v>
      </c>
      <c r="M82" s="1">
        <f t="shared" si="38"/>
        <v>0</v>
      </c>
    </row>
    <row r="83" spans="1:13" ht="15.75" x14ac:dyDescent="0.25">
      <c r="F83" s="7">
        <v>1</v>
      </c>
      <c r="G83" s="4">
        <v>0</v>
      </c>
      <c r="H83" s="4">
        <f t="shared" si="33"/>
        <v>0</v>
      </c>
      <c r="I83" s="15" t="str">
        <f t="shared" si="34"/>
        <v/>
      </c>
      <c r="J83">
        <f t="shared" si="35"/>
        <v>0</v>
      </c>
      <c r="K83" s="1">
        <f t="shared" si="36"/>
        <v>0</v>
      </c>
      <c r="L83">
        <f t="shared" si="37"/>
        <v>0</v>
      </c>
      <c r="M83" s="1">
        <f t="shared" si="38"/>
        <v>0</v>
      </c>
    </row>
    <row r="84" spans="1:13" ht="15.75" x14ac:dyDescent="0.25">
      <c r="G84" t="s">
        <v>16</v>
      </c>
      <c r="H84" s="4">
        <f>SUM(H75:H83)</f>
        <v>0</v>
      </c>
      <c r="I84" s="15"/>
      <c r="K84" t="s">
        <v>70</v>
      </c>
      <c r="L84" t="s">
        <v>16</v>
      </c>
      <c r="M84" s="4">
        <f>SUM(M75:M83)</f>
        <v>0</v>
      </c>
    </row>
    <row r="87" spans="1:13" ht="15.75" x14ac:dyDescent="0.25">
      <c r="A87" s="6" t="s">
        <v>77</v>
      </c>
      <c r="B87" s="5" t="s">
        <v>1</v>
      </c>
      <c r="C87" s="5" t="s">
        <v>30</v>
      </c>
      <c r="D87" s="5"/>
      <c r="E87" s="8" t="s">
        <v>35</v>
      </c>
      <c r="F87" s="8"/>
      <c r="G87" s="5" t="s">
        <v>96</v>
      </c>
      <c r="H87" s="5"/>
      <c r="I87" s="15"/>
      <c r="J87" s="5" t="s">
        <v>23</v>
      </c>
      <c r="K87" s="5" t="s">
        <v>22</v>
      </c>
      <c r="L87" s="5" t="s">
        <v>27</v>
      </c>
      <c r="M87" s="5" t="s">
        <v>28</v>
      </c>
    </row>
    <row r="88" spans="1:13" ht="15.75" x14ac:dyDescent="0.25">
      <c r="A88" t="s">
        <v>78</v>
      </c>
      <c r="B88" s="2" t="s">
        <v>86</v>
      </c>
      <c r="E88" s="7">
        <v>1</v>
      </c>
      <c r="F88" s="7">
        <v>0</v>
      </c>
      <c r="G88" s="4">
        <v>7000</v>
      </c>
      <c r="H88" s="4">
        <f>(E88*G88*F88/22)*$M$1</f>
        <v>0</v>
      </c>
      <c r="I88" s="15" t="str">
        <f t="shared" ref="I88:I96" si="39">IF($F88&lt;1,"Bonificado "&amp;(1-$F88)*100&amp;" %","")</f>
        <v>Bonificado 100 %</v>
      </c>
      <c r="J88">
        <f t="shared" ref="J88:J96" si="40">E88/$D$1</f>
        <v>0.05</v>
      </c>
      <c r="K88" s="1">
        <f t="shared" ref="K88:K96" si="41">H88/$D$1</f>
        <v>0</v>
      </c>
      <c r="L88">
        <f t="shared" ref="L88:L96" si="42">J88*($D$1+$D$4-$D$1)</f>
        <v>2.25</v>
      </c>
      <c r="M88" s="1">
        <f t="shared" ref="M88:M96" si="43">K88*($D$1+$D$4-$D$1)</f>
        <v>0</v>
      </c>
    </row>
    <row r="89" spans="1:13" ht="15.75" x14ac:dyDescent="0.25">
      <c r="A89" t="s">
        <v>79</v>
      </c>
      <c r="B89" s="2" t="s">
        <v>87</v>
      </c>
      <c r="E89" s="7">
        <v>1</v>
      </c>
      <c r="F89" s="7">
        <v>0</v>
      </c>
      <c r="G89" s="4">
        <v>9300</v>
      </c>
      <c r="H89" s="4">
        <f t="shared" ref="H89:H96" si="44">(E89*G89*F89/22)*$M$1</f>
        <v>0</v>
      </c>
      <c r="I89" s="15" t="str">
        <f t="shared" si="39"/>
        <v>Bonificado 100 %</v>
      </c>
      <c r="J89">
        <f t="shared" si="40"/>
        <v>0.05</v>
      </c>
      <c r="K89" s="1">
        <f t="shared" si="41"/>
        <v>0</v>
      </c>
      <c r="L89">
        <f t="shared" si="42"/>
        <v>2.25</v>
      </c>
      <c r="M89" s="1">
        <f t="shared" si="43"/>
        <v>0</v>
      </c>
    </row>
    <row r="90" spans="1:13" ht="15.75" x14ac:dyDescent="0.25">
      <c r="A90" t="s">
        <v>80</v>
      </c>
      <c r="B90" s="2" t="s">
        <v>88</v>
      </c>
      <c r="E90" s="7">
        <v>1</v>
      </c>
      <c r="F90" s="7">
        <v>0</v>
      </c>
      <c r="G90" s="4">
        <v>2300</v>
      </c>
      <c r="H90" s="4">
        <f t="shared" si="44"/>
        <v>0</v>
      </c>
      <c r="I90" s="15" t="str">
        <f t="shared" si="39"/>
        <v>Bonificado 100 %</v>
      </c>
      <c r="J90">
        <f t="shared" si="40"/>
        <v>0.05</v>
      </c>
      <c r="K90" s="1">
        <f t="shared" si="41"/>
        <v>0</v>
      </c>
      <c r="L90">
        <f t="shared" si="42"/>
        <v>2.25</v>
      </c>
      <c r="M90" s="1">
        <f t="shared" si="43"/>
        <v>0</v>
      </c>
    </row>
    <row r="91" spans="1:13" ht="15.75" x14ac:dyDescent="0.25">
      <c r="A91" t="s">
        <v>81</v>
      </c>
      <c r="B91" s="2" t="s">
        <v>89</v>
      </c>
      <c r="C91" t="s">
        <v>95</v>
      </c>
      <c r="E91" s="7">
        <v>4</v>
      </c>
      <c r="F91" s="7">
        <v>0</v>
      </c>
      <c r="G91" s="4">
        <v>1500</v>
      </c>
      <c r="H91" s="4">
        <f t="shared" si="44"/>
        <v>0</v>
      </c>
      <c r="I91" s="15" t="str">
        <f t="shared" si="39"/>
        <v>Bonificado 100 %</v>
      </c>
      <c r="J91">
        <f t="shared" si="40"/>
        <v>0.2</v>
      </c>
      <c r="K91" s="1">
        <f t="shared" si="41"/>
        <v>0</v>
      </c>
      <c r="L91">
        <f t="shared" si="42"/>
        <v>9</v>
      </c>
      <c r="M91" s="1">
        <f t="shared" si="43"/>
        <v>0</v>
      </c>
    </row>
    <row r="92" spans="1:13" ht="15.75" x14ac:dyDescent="0.25">
      <c r="A92" t="s">
        <v>82</v>
      </c>
      <c r="B92" s="3" t="s">
        <v>90</v>
      </c>
      <c r="E92" s="7">
        <v>1</v>
      </c>
      <c r="F92" s="7">
        <v>0</v>
      </c>
      <c r="G92" s="4">
        <v>900</v>
      </c>
      <c r="H92" s="4">
        <f t="shared" si="44"/>
        <v>0</v>
      </c>
      <c r="I92" s="15" t="str">
        <f t="shared" si="39"/>
        <v>Bonificado 100 %</v>
      </c>
      <c r="J92">
        <f t="shared" si="40"/>
        <v>0.05</v>
      </c>
      <c r="K92" s="1">
        <f t="shared" si="41"/>
        <v>0</v>
      </c>
      <c r="L92">
        <f t="shared" si="42"/>
        <v>2.25</v>
      </c>
      <c r="M92" s="1">
        <f t="shared" si="43"/>
        <v>0</v>
      </c>
    </row>
    <row r="93" spans="1:13" ht="15.75" x14ac:dyDescent="0.25">
      <c r="A93" t="s">
        <v>83</v>
      </c>
      <c r="B93" s="2" t="s">
        <v>91</v>
      </c>
      <c r="E93" s="7">
        <v>1</v>
      </c>
      <c r="F93" s="7">
        <v>0</v>
      </c>
      <c r="G93" s="4">
        <v>870</v>
      </c>
      <c r="H93" s="4">
        <f t="shared" si="44"/>
        <v>0</v>
      </c>
      <c r="I93" s="15" t="str">
        <f t="shared" si="39"/>
        <v>Bonificado 100 %</v>
      </c>
      <c r="J93">
        <f t="shared" si="40"/>
        <v>0.05</v>
      </c>
      <c r="K93" s="1">
        <f t="shared" si="41"/>
        <v>0</v>
      </c>
      <c r="L93">
        <f t="shared" si="42"/>
        <v>2.25</v>
      </c>
      <c r="M93" s="1">
        <f t="shared" si="43"/>
        <v>0</v>
      </c>
    </row>
    <row r="94" spans="1:13" ht="15.75" x14ac:dyDescent="0.25">
      <c r="A94" t="s">
        <v>84</v>
      </c>
      <c r="B94" s="2" t="s">
        <v>92</v>
      </c>
      <c r="E94" s="7">
        <v>1</v>
      </c>
      <c r="F94" s="7">
        <v>0</v>
      </c>
      <c r="G94" s="4">
        <v>350</v>
      </c>
      <c r="H94" s="4">
        <f t="shared" si="44"/>
        <v>0</v>
      </c>
      <c r="I94" s="15" t="str">
        <f t="shared" si="39"/>
        <v>Bonificado 100 %</v>
      </c>
      <c r="J94">
        <f t="shared" si="40"/>
        <v>0.05</v>
      </c>
      <c r="K94" s="1">
        <f t="shared" si="41"/>
        <v>0</v>
      </c>
      <c r="L94">
        <f t="shared" si="42"/>
        <v>2.25</v>
      </c>
      <c r="M94" s="1">
        <f t="shared" si="43"/>
        <v>0</v>
      </c>
    </row>
    <row r="95" spans="1:13" ht="15.75" x14ac:dyDescent="0.25">
      <c r="A95" t="s">
        <v>85</v>
      </c>
      <c r="B95" s="2" t="s">
        <v>93</v>
      </c>
      <c r="E95" s="7">
        <v>1</v>
      </c>
      <c r="F95" s="7">
        <v>0</v>
      </c>
      <c r="G95" s="4">
        <v>450</v>
      </c>
      <c r="H95" s="4">
        <f t="shared" si="44"/>
        <v>0</v>
      </c>
      <c r="I95" s="15" t="str">
        <f t="shared" si="39"/>
        <v>Bonificado 100 %</v>
      </c>
      <c r="J95">
        <f t="shared" si="40"/>
        <v>0.05</v>
      </c>
      <c r="K95" s="1">
        <f t="shared" si="41"/>
        <v>0</v>
      </c>
      <c r="L95">
        <f t="shared" si="42"/>
        <v>2.25</v>
      </c>
      <c r="M95" s="1">
        <f t="shared" si="43"/>
        <v>0</v>
      </c>
    </row>
    <row r="96" spans="1:13" ht="15.75" x14ac:dyDescent="0.25">
      <c r="F96" s="7">
        <v>0</v>
      </c>
      <c r="G96" s="4">
        <v>0</v>
      </c>
      <c r="H96" s="4">
        <f t="shared" si="44"/>
        <v>0</v>
      </c>
      <c r="I96" s="15" t="str">
        <f t="shared" si="39"/>
        <v>Bonificado 100 %</v>
      </c>
      <c r="J96">
        <f t="shared" si="40"/>
        <v>0</v>
      </c>
      <c r="K96" s="1">
        <f t="shared" si="41"/>
        <v>0</v>
      </c>
      <c r="L96">
        <f t="shared" si="42"/>
        <v>0</v>
      </c>
      <c r="M96" s="1">
        <f t="shared" si="43"/>
        <v>0</v>
      </c>
    </row>
    <row r="97" spans="7:13" ht="15.75" x14ac:dyDescent="0.25">
      <c r="G97" t="s">
        <v>16</v>
      </c>
      <c r="H97" s="4">
        <f>SUM(H88:H96)</f>
        <v>0</v>
      </c>
      <c r="I97" s="15"/>
      <c r="K97" t="s">
        <v>70</v>
      </c>
      <c r="L97" t="s">
        <v>16</v>
      </c>
      <c r="M97" s="4">
        <f>SUM(M88:M96)</f>
        <v>0</v>
      </c>
    </row>
  </sheetData>
  <mergeCells count="4">
    <mergeCell ref="J6:K6"/>
    <mergeCell ref="J4:K4"/>
    <mergeCell ref="J8:K8"/>
    <mergeCell ref="P11:T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0964F-E5E1-4054-841D-A12810E62D7D}">
  <sheetPr>
    <tabColor theme="4" tint="0.59999389629810485"/>
  </sheetPr>
  <dimension ref="A1"/>
  <sheetViews>
    <sheetView workbookViewId="0">
      <selection activeCell="F32" sqref="F32"/>
    </sheetView>
  </sheetViews>
  <sheetFormatPr defaultColWidth="11.42578125" defaultRowHeight="15" x14ac:dyDescent="0.2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BF62-D2C0-4FCB-8E17-3F70BF85405B}">
  <sheetPr>
    <tabColor theme="4" tint="0.59999389629810485"/>
  </sheetPr>
  <dimension ref="A1"/>
  <sheetViews>
    <sheetView workbookViewId="0">
      <selection activeCell="C3" sqref="C3"/>
    </sheetView>
  </sheetViews>
  <sheetFormatPr defaultColWidth="11.42578125" defaultRowHeight="15" x14ac:dyDescent="0.25"/>
  <sheetData/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C0F8D-E6E8-463F-998F-CAA0E1E84883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Recetas</vt:lpstr>
      <vt:lpstr>Inf_Nutric</vt:lpstr>
      <vt:lpstr>Propuesta</vt:lpstr>
    </vt:vector>
  </TitlesOfParts>
  <Company>Leonardo Zelvys Catering Gourmet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COSTEO INTERNO</dc:title>
  <dc:subject>20200503_Cumpleaños_PAX_Joseph</dc:subject>
  <dc:creator>CoMeP_V5.4</dc:creator>
  <cp:keywords>CoMeP_Generado</cp:keywords>
  <cp:lastModifiedBy>Leonardo Zelvys</cp:lastModifiedBy>
  <dcterms:created xsi:type="dcterms:W3CDTF">2024-05-31T14:43:15Z</dcterms:created>
  <dcterms:modified xsi:type="dcterms:W3CDTF">2025-12-14T03:19:54Z</dcterms:modified>
  <cp:category>PRIVADO_NO_ENVIAR</cp:category>
</cp:coreProperties>
</file>